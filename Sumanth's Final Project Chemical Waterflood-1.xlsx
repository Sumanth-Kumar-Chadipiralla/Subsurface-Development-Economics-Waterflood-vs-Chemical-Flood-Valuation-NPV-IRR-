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j\Documents\"/>
    </mc:Choice>
  </mc:AlternateContent>
  <xr:revisionPtr revIDLastSave="0" documentId="8_{CED12273-4B5B-410F-A0D0-EBC9326AF1F4}" xr6:coauthVersionLast="47" xr6:coauthVersionMax="47" xr10:uidLastSave="{00000000-0000-0000-0000-000000000000}"/>
  <bookViews>
    <workbookView xWindow="-96" yWindow="0" windowWidth="11712" windowHeight="12336" xr2:uid="{CE05C3C6-AC21-A94F-994E-856F4E9464A7}"/>
  </bookViews>
  <sheets>
    <sheet name="Final Economics Project" sheetId="1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" i="11" l="1"/>
  <c r="H48" i="11"/>
  <c r="G48" i="11"/>
  <c r="F48" i="11"/>
  <c r="D180" i="11"/>
  <c r="D179" i="11"/>
  <c r="D178" i="11"/>
  <c r="D172" i="11"/>
  <c r="D171" i="11"/>
  <c r="D170" i="11"/>
  <c r="AD107" i="11" l="1"/>
  <c r="AE107" i="11" s="1"/>
  <c r="R106" i="11"/>
  <c r="AA112" i="11" s="1"/>
  <c r="O106" i="11"/>
  <c r="N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06" i="11"/>
  <c r="I106" i="11"/>
  <c r="E106" i="11"/>
  <c r="D108" i="11"/>
  <c r="C107" i="11"/>
  <c r="E107" i="11" l="1"/>
  <c r="M107" i="11" s="1"/>
  <c r="L147" i="11"/>
  <c r="AA144" i="11"/>
  <c r="M106" i="11"/>
  <c r="AA109" i="11"/>
  <c r="AA113" i="11"/>
  <c r="AA117" i="11"/>
  <c r="AA121" i="11"/>
  <c r="AA125" i="11"/>
  <c r="AA129" i="11"/>
  <c r="AA133" i="11"/>
  <c r="AA137" i="11"/>
  <c r="AA141" i="11"/>
  <c r="AA145" i="11"/>
  <c r="AA110" i="11"/>
  <c r="AA114" i="11"/>
  <c r="AA118" i="11"/>
  <c r="AA122" i="11"/>
  <c r="AA126" i="11"/>
  <c r="AA130" i="11"/>
  <c r="AA134" i="11"/>
  <c r="AA138" i="11"/>
  <c r="AA142" i="11"/>
  <c r="AA146" i="11"/>
  <c r="AA107" i="11"/>
  <c r="AA111" i="11"/>
  <c r="AA115" i="11"/>
  <c r="AA119" i="11"/>
  <c r="AA123" i="11"/>
  <c r="AA127" i="11"/>
  <c r="AA131" i="11"/>
  <c r="AA135" i="11"/>
  <c r="AA139" i="11"/>
  <c r="AA143" i="11"/>
  <c r="AA106" i="11"/>
  <c r="AA116" i="11"/>
  <c r="AA132" i="11"/>
  <c r="AA120" i="11"/>
  <c r="AA136" i="11"/>
  <c r="AA140" i="11"/>
  <c r="AA108" i="11"/>
  <c r="C108" i="11"/>
  <c r="F107" i="11"/>
  <c r="H107" i="11"/>
  <c r="N107" i="11"/>
  <c r="AA128" i="11"/>
  <c r="D109" i="11"/>
  <c r="J106" i="11"/>
  <c r="K106" i="11" s="1"/>
  <c r="AA124" i="11"/>
  <c r="R147" i="11"/>
  <c r="AF107" i="11"/>
  <c r="Q106" i="11" l="1"/>
  <c r="D110" i="11"/>
  <c r="AA147" i="11"/>
  <c r="C109" i="11"/>
  <c r="N108" i="11"/>
  <c r="H108" i="11"/>
  <c r="F108" i="11"/>
  <c r="O107" i="11"/>
  <c r="G107" i="11"/>
  <c r="I107" i="11" s="1"/>
  <c r="E108" i="11"/>
  <c r="E109" i="11" l="1"/>
  <c r="M109" i="11" s="1"/>
  <c r="O108" i="11"/>
  <c r="G108" i="11"/>
  <c r="I108" i="11" s="1"/>
  <c r="C110" i="11"/>
  <c r="E110" i="11" s="1"/>
  <c r="M110" i="11" s="1"/>
  <c r="N109" i="11"/>
  <c r="H109" i="11"/>
  <c r="F109" i="11"/>
  <c r="D111" i="11"/>
  <c r="J107" i="11"/>
  <c r="K107" i="11" s="1"/>
  <c r="S106" i="11"/>
  <c r="M108" i="11"/>
  <c r="P107" i="11"/>
  <c r="U107" i="11" l="1"/>
  <c r="N102" i="11"/>
  <c r="Q107" i="11"/>
  <c r="P108" i="11"/>
  <c r="V108" i="11" s="1"/>
  <c r="O109" i="11"/>
  <c r="G109" i="11"/>
  <c r="I109" i="11" s="1"/>
  <c r="C111" i="11"/>
  <c r="E111" i="11" s="1"/>
  <c r="M111" i="11" s="1"/>
  <c r="N110" i="11"/>
  <c r="H110" i="11"/>
  <c r="F110" i="11"/>
  <c r="J108" i="11"/>
  <c r="K108" i="11" s="1"/>
  <c r="V107" i="11"/>
  <c r="D112" i="11"/>
  <c r="Q108" i="11" l="1"/>
  <c r="U108" i="11"/>
  <c r="P109" i="11"/>
  <c r="D113" i="11"/>
  <c r="G110" i="11"/>
  <c r="I110" i="11" s="1"/>
  <c r="O110" i="11"/>
  <c r="P110" i="11" s="1"/>
  <c r="V110" i="11" s="1"/>
  <c r="C112" i="11"/>
  <c r="E112" i="11" s="1"/>
  <c r="M112" i="11" s="1"/>
  <c r="N111" i="11"/>
  <c r="H111" i="11"/>
  <c r="F111" i="11"/>
  <c r="W107" i="11"/>
  <c r="T107" i="11"/>
  <c r="S107" i="11"/>
  <c r="J109" i="11"/>
  <c r="K109" i="11" s="1"/>
  <c r="X107" i="11"/>
  <c r="Y107" i="11" s="1"/>
  <c r="Q109" i="11" l="1"/>
  <c r="U109" i="11"/>
  <c r="O111" i="11"/>
  <c r="P111" i="11" s="1"/>
  <c r="G111" i="11"/>
  <c r="I111" i="11" s="1"/>
  <c r="C113" i="11"/>
  <c r="E113" i="11" s="1"/>
  <c r="M113" i="11" s="1"/>
  <c r="N112" i="11"/>
  <c r="H112" i="11"/>
  <c r="F112" i="11"/>
  <c r="D114" i="11"/>
  <c r="X108" i="11"/>
  <c r="Y108" i="11" s="1"/>
  <c r="J110" i="11"/>
  <c r="K110" i="11" s="1"/>
  <c r="V109" i="11"/>
  <c r="W108" i="11"/>
  <c r="T108" i="11"/>
  <c r="S108" i="11"/>
  <c r="V111" i="11" l="1"/>
  <c r="Q110" i="11"/>
  <c r="U110" i="11"/>
  <c r="K111" i="11"/>
  <c r="J111" i="11"/>
  <c r="X109" i="11"/>
  <c r="Y109" i="11" s="1"/>
  <c r="D115" i="11"/>
  <c r="W109" i="11"/>
  <c r="T109" i="11"/>
  <c r="S109" i="11"/>
  <c r="O112" i="11"/>
  <c r="P112" i="11" s="1"/>
  <c r="G112" i="11"/>
  <c r="I112" i="11" s="1"/>
  <c r="C114" i="11"/>
  <c r="N113" i="11"/>
  <c r="H113" i="11"/>
  <c r="F113" i="11"/>
  <c r="V112" i="11" l="1"/>
  <c r="J112" i="11"/>
  <c r="K112" i="11" s="1"/>
  <c r="D116" i="11"/>
  <c r="E115" i="11"/>
  <c r="M115" i="11" s="1"/>
  <c r="U111" i="11"/>
  <c r="Q111" i="11"/>
  <c r="X110" i="11"/>
  <c r="Y110" i="11" s="1"/>
  <c r="O113" i="11"/>
  <c r="P113" i="11" s="1"/>
  <c r="G113" i="11"/>
  <c r="I113" i="11" s="1"/>
  <c r="C115" i="11"/>
  <c r="N114" i="11"/>
  <c r="H114" i="11"/>
  <c r="F114" i="11"/>
  <c r="E114" i="11"/>
  <c r="M114" i="11" s="1"/>
  <c r="S110" i="11"/>
  <c r="W110" i="11"/>
  <c r="T110" i="11"/>
  <c r="Q112" i="11" l="1"/>
  <c r="U112" i="11"/>
  <c r="V113" i="11"/>
  <c r="J113" i="11"/>
  <c r="K113" i="11" s="1"/>
  <c r="W111" i="11"/>
  <c r="T111" i="11"/>
  <c r="S111" i="11"/>
  <c r="D117" i="11"/>
  <c r="Y111" i="11"/>
  <c r="X111" i="11"/>
  <c r="G114" i="11"/>
  <c r="I114" i="11" s="1"/>
  <c r="O114" i="11"/>
  <c r="P114" i="11" s="1"/>
  <c r="V114" i="11" s="1"/>
  <c r="C116" i="11"/>
  <c r="N115" i="11"/>
  <c r="H115" i="11"/>
  <c r="F115" i="11"/>
  <c r="Q113" i="11" l="1"/>
  <c r="U113" i="11"/>
  <c r="D118" i="11"/>
  <c r="C117" i="11"/>
  <c r="E117" i="11" s="1"/>
  <c r="M117" i="11" s="1"/>
  <c r="N116" i="11"/>
  <c r="H116" i="11"/>
  <c r="F116" i="11"/>
  <c r="J114" i="11"/>
  <c r="K114" i="11" s="1"/>
  <c r="X112" i="11"/>
  <c r="Y112" i="11" s="1"/>
  <c r="O115" i="11"/>
  <c r="P115" i="11" s="1"/>
  <c r="V115" i="11" s="1"/>
  <c r="G115" i="11"/>
  <c r="I115" i="11" s="1"/>
  <c r="E116" i="11"/>
  <c r="M116" i="11" s="1"/>
  <c r="W112" i="11"/>
  <c r="T112" i="11"/>
  <c r="S112" i="11"/>
  <c r="U114" i="11" l="1"/>
  <c r="Q114" i="11"/>
  <c r="P116" i="11"/>
  <c r="V116" i="11" s="1"/>
  <c r="J115" i="11"/>
  <c r="K115" i="11" s="1"/>
  <c r="D119" i="11"/>
  <c r="X113" i="11"/>
  <c r="Y113" i="11" s="1"/>
  <c r="O116" i="11"/>
  <c r="G116" i="11"/>
  <c r="I116" i="11" s="1"/>
  <c r="C118" i="11"/>
  <c r="F117" i="11"/>
  <c r="N117" i="11"/>
  <c r="H117" i="11"/>
  <c r="W113" i="11"/>
  <c r="T113" i="11"/>
  <c r="S113" i="11"/>
  <c r="U115" i="11" l="1"/>
  <c r="Q115" i="11"/>
  <c r="C119" i="11"/>
  <c r="N118" i="11"/>
  <c r="H118" i="11"/>
  <c r="F118" i="11"/>
  <c r="J116" i="11"/>
  <c r="K116" i="11" s="1"/>
  <c r="O117" i="11"/>
  <c r="P117" i="11" s="1"/>
  <c r="V117" i="11" s="1"/>
  <c r="G117" i="11"/>
  <c r="I117" i="11" s="1"/>
  <c r="E118" i="11"/>
  <c r="M118" i="11" s="1"/>
  <c r="S114" i="11"/>
  <c r="W114" i="11"/>
  <c r="T114" i="11"/>
  <c r="D120" i="11"/>
  <c r="E119" i="11"/>
  <c r="M119" i="11" s="1"/>
  <c r="X114" i="11"/>
  <c r="Y114" i="11" s="1"/>
  <c r="Q116" i="11" l="1"/>
  <c r="U116" i="11"/>
  <c r="D121" i="11"/>
  <c r="W115" i="11"/>
  <c r="T115" i="11"/>
  <c r="S115" i="11"/>
  <c r="J117" i="11"/>
  <c r="K117" i="11" s="1"/>
  <c r="G118" i="11"/>
  <c r="I118" i="11" s="1"/>
  <c r="O118" i="11"/>
  <c r="P118" i="11" s="1"/>
  <c r="V118" i="11" s="1"/>
  <c r="C120" i="11"/>
  <c r="N119" i="11"/>
  <c r="H119" i="11"/>
  <c r="F119" i="11"/>
  <c r="X115" i="11"/>
  <c r="Y115" i="11" s="1"/>
  <c r="O119" i="11" l="1"/>
  <c r="P119" i="11" s="1"/>
  <c r="V119" i="11" s="1"/>
  <c r="G119" i="11"/>
  <c r="I119" i="11" s="1"/>
  <c r="C121" i="11"/>
  <c r="N120" i="11"/>
  <c r="H120" i="11"/>
  <c r="F120" i="11"/>
  <c r="Q117" i="11"/>
  <c r="U117" i="11"/>
  <c r="X116" i="11"/>
  <c r="Y116" i="11" s="1"/>
  <c r="E120" i="11"/>
  <c r="M120" i="11" s="1"/>
  <c r="W116" i="11"/>
  <c r="T116" i="11"/>
  <c r="S116" i="11"/>
  <c r="J118" i="11"/>
  <c r="K118" i="11" s="1"/>
  <c r="D122" i="11"/>
  <c r="E121" i="11"/>
  <c r="M121" i="11" s="1"/>
  <c r="Y117" i="11" l="1"/>
  <c r="X117" i="11"/>
  <c r="Q118" i="11"/>
  <c r="U118" i="11"/>
  <c r="W117" i="11"/>
  <c r="T117" i="11"/>
  <c r="S117" i="11"/>
  <c r="O120" i="11"/>
  <c r="P120" i="11" s="1"/>
  <c r="V120" i="11" s="1"/>
  <c r="G120" i="11"/>
  <c r="I120" i="11" s="1"/>
  <c r="C122" i="11"/>
  <c r="N121" i="11"/>
  <c r="H121" i="11"/>
  <c r="F121" i="11"/>
  <c r="D123" i="11"/>
  <c r="E122" i="11"/>
  <c r="M122" i="11" s="1"/>
  <c r="K119" i="11"/>
  <c r="J119" i="11"/>
  <c r="D124" i="11" l="1"/>
  <c r="O121" i="11"/>
  <c r="P121" i="11" s="1"/>
  <c r="V121" i="11" s="1"/>
  <c r="G121" i="11"/>
  <c r="I121" i="11" s="1"/>
  <c r="C123" i="11"/>
  <c r="N122" i="11"/>
  <c r="H122" i="11"/>
  <c r="F122" i="11"/>
  <c r="X118" i="11"/>
  <c r="Y118" i="11" s="1"/>
  <c r="U119" i="11"/>
  <c r="Q119" i="11"/>
  <c r="J120" i="11"/>
  <c r="K120" i="11" s="1"/>
  <c r="S118" i="11"/>
  <c r="W118" i="11"/>
  <c r="T118" i="11"/>
  <c r="Q120" i="11" l="1"/>
  <c r="U120" i="11"/>
  <c r="W119" i="11"/>
  <c r="T119" i="11"/>
  <c r="S119" i="11"/>
  <c r="G122" i="11"/>
  <c r="I122" i="11" s="1"/>
  <c r="O122" i="11"/>
  <c r="P122" i="11" s="1"/>
  <c r="V122" i="11" s="1"/>
  <c r="C124" i="11"/>
  <c r="E124" i="11" s="1"/>
  <c r="M124" i="11" s="1"/>
  <c r="N123" i="11"/>
  <c r="H123" i="11"/>
  <c r="F123" i="11"/>
  <c r="D125" i="11"/>
  <c r="X119" i="11"/>
  <c r="Y119" i="11" s="1"/>
  <c r="J121" i="11"/>
  <c r="K121" i="11" s="1"/>
  <c r="E123" i="11"/>
  <c r="M123" i="11" s="1"/>
  <c r="Q121" i="11" l="1"/>
  <c r="U121" i="11"/>
  <c r="D126" i="11"/>
  <c r="X120" i="11"/>
  <c r="Y120" i="11" s="1"/>
  <c r="O123" i="11"/>
  <c r="G123" i="11"/>
  <c r="I123" i="11" s="1"/>
  <c r="C125" i="11"/>
  <c r="E125" i="11" s="1"/>
  <c r="M125" i="11" s="1"/>
  <c r="N124" i="11"/>
  <c r="H124" i="11"/>
  <c r="F124" i="11"/>
  <c r="W120" i="11"/>
  <c r="T120" i="11"/>
  <c r="S120" i="11"/>
  <c r="P123" i="11"/>
  <c r="V123" i="11" s="1"/>
  <c r="J122" i="11"/>
  <c r="K122" i="11" s="1"/>
  <c r="U122" i="11" l="1"/>
  <c r="Q122" i="11"/>
  <c r="O124" i="11"/>
  <c r="P124" i="11" s="1"/>
  <c r="V124" i="11" s="1"/>
  <c r="G124" i="11"/>
  <c r="I124" i="11" s="1"/>
  <c r="C126" i="11"/>
  <c r="N125" i="11"/>
  <c r="H125" i="11"/>
  <c r="F125" i="11"/>
  <c r="J123" i="11"/>
  <c r="K123" i="11" s="1"/>
  <c r="X121" i="11"/>
  <c r="Y121" i="11" s="1"/>
  <c r="D127" i="11"/>
  <c r="W121" i="11"/>
  <c r="T121" i="11"/>
  <c r="S121" i="11"/>
  <c r="U123" i="11" l="1"/>
  <c r="Q123" i="11"/>
  <c r="O125" i="11"/>
  <c r="P125" i="11" s="1"/>
  <c r="V125" i="11" s="1"/>
  <c r="G125" i="11"/>
  <c r="I125" i="11" s="1"/>
  <c r="N126" i="11"/>
  <c r="H126" i="11"/>
  <c r="F126" i="11"/>
  <c r="C127" i="11"/>
  <c r="D128" i="11"/>
  <c r="J124" i="11"/>
  <c r="K124" i="11" s="1"/>
  <c r="S122" i="11"/>
  <c r="W122" i="11"/>
  <c r="T122" i="11"/>
  <c r="E126" i="11"/>
  <c r="M126" i="11" s="1"/>
  <c r="X122" i="11"/>
  <c r="Y122" i="11" s="1"/>
  <c r="Q124" i="11" l="1"/>
  <c r="U124" i="11"/>
  <c r="D129" i="11"/>
  <c r="W123" i="11"/>
  <c r="T123" i="11"/>
  <c r="S123" i="11"/>
  <c r="N127" i="11"/>
  <c r="H127" i="11"/>
  <c r="F127" i="11"/>
  <c r="C128" i="11"/>
  <c r="X123" i="11"/>
  <c r="Y123" i="11" s="1"/>
  <c r="G126" i="11"/>
  <c r="I126" i="11" s="1"/>
  <c r="O126" i="11"/>
  <c r="P126" i="11" s="1"/>
  <c r="V126" i="11" s="1"/>
  <c r="J125" i="11"/>
  <c r="K125" i="11" s="1"/>
  <c r="E127" i="11"/>
  <c r="M127" i="11" s="1"/>
  <c r="Q125" i="11" l="1"/>
  <c r="U125" i="11"/>
  <c r="N128" i="11"/>
  <c r="H128" i="11"/>
  <c r="F128" i="11"/>
  <c r="C129" i="11"/>
  <c r="J126" i="11"/>
  <c r="K126" i="11" s="1"/>
  <c r="O127" i="11"/>
  <c r="P127" i="11" s="1"/>
  <c r="V127" i="11" s="1"/>
  <c r="G127" i="11"/>
  <c r="I127" i="11" s="1"/>
  <c r="E128" i="11"/>
  <c r="M128" i="11" s="1"/>
  <c r="X124" i="11"/>
  <c r="Y124" i="11" s="1"/>
  <c r="D130" i="11"/>
  <c r="E129" i="11"/>
  <c r="M129" i="11" s="1"/>
  <c r="W124" i="11"/>
  <c r="T124" i="11"/>
  <c r="S124" i="11"/>
  <c r="Q126" i="11" l="1"/>
  <c r="U126" i="11"/>
  <c r="O128" i="11"/>
  <c r="P128" i="11" s="1"/>
  <c r="V128" i="11" s="1"/>
  <c r="G128" i="11"/>
  <c r="I128" i="11" s="1"/>
  <c r="D131" i="11"/>
  <c r="X125" i="11"/>
  <c r="Y125" i="11" s="1"/>
  <c r="J127" i="11"/>
  <c r="K127" i="11" s="1"/>
  <c r="C130" i="11"/>
  <c r="N129" i="11"/>
  <c r="H129" i="11"/>
  <c r="F129" i="11"/>
  <c r="W125" i="11"/>
  <c r="T125" i="11"/>
  <c r="S125" i="11"/>
  <c r="U127" i="11" l="1"/>
  <c r="Q127" i="11"/>
  <c r="C131" i="11"/>
  <c r="E131" i="11" s="1"/>
  <c r="M131" i="11" s="1"/>
  <c r="N130" i="11"/>
  <c r="H130" i="11"/>
  <c r="F130" i="11"/>
  <c r="D132" i="11"/>
  <c r="J128" i="11"/>
  <c r="K128" i="11" s="1"/>
  <c r="O129" i="11"/>
  <c r="P129" i="11" s="1"/>
  <c r="V129" i="11" s="1"/>
  <c r="G129" i="11"/>
  <c r="I129" i="11" s="1"/>
  <c r="X126" i="11"/>
  <c r="Y126" i="11" s="1"/>
  <c r="E130" i="11"/>
  <c r="M130" i="11" s="1"/>
  <c r="S126" i="11"/>
  <c r="W126" i="11"/>
  <c r="T126" i="11"/>
  <c r="G130" i="11" l="1"/>
  <c r="I130" i="11" s="1"/>
  <c r="O130" i="11"/>
  <c r="C132" i="11"/>
  <c r="N131" i="11"/>
  <c r="H131" i="11"/>
  <c r="F131" i="11"/>
  <c r="P130" i="11"/>
  <c r="V130" i="11" s="1"/>
  <c r="Q128" i="11"/>
  <c r="C151" i="11" s="1"/>
  <c r="D151" i="11" s="1"/>
  <c r="U128" i="11"/>
  <c r="J129" i="11"/>
  <c r="K129" i="11" s="1"/>
  <c r="W127" i="11"/>
  <c r="T127" i="11"/>
  <c r="S127" i="11"/>
  <c r="D133" i="11"/>
  <c r="E132" i="11"/>
  <c r="M132" i="11" s="1"/>
  <c r="X127" i="11"/>
  <c r="Y127" i="11" s="1"/>
  <c r="Q129" i="11" l="1"/>
  <c r="U129" i="11"/>
  <c r="X128" i="11"/>
  <c r="Y128" i="11"/>
  <c r="W128" i="11"/>
  <c r="T128" i="11"/>
  <c r="S128" i="11"/>
  <c r="K130" i="11"/>
  <c r="J130" i="11"/>
  <c r="D134" i="11"/>
  <c r="O131" i="11"/>
  <c r="P131" i="11" s="1"/>
  <c r="V131" i="11" s="1"/>
  <c r="G131" i="11"/>
  <c r="I131" i="11" s="1"/>
  <c r="C133" i="11"/>
  <c r="E133" i="11" s="1"/>
  <c r="M133" i="11" s="1"/>
  <c r="N132" i="11"/>
  <c r="H132" i="11"/>
  <c r="F132" i="11"/>
  <c r="K131" i="11" l="1"/>
  <c r="J131" i="11"/>
  <c r="X129" i="11"/>
  <c r="Y129" i="11" s="1"/>
  <c r="U130" i="11"/>
  <c r="Q130" i="11"/>
  <c r="W129" i="11"/>
  <c r="T129" i="11"/>
  <c r="S129" i="11"/>
  <c r="O132" i="11"/>
  <c r="P132" i="11" s="1"/>
  <c r="V132" i="11" s="1"/>
  <c r="G132" i="11"/>
  <c r="I132" i="11" s="1"/>
  <c r="C134" i="11"/>
  <c r="F133" i="11"/>
  <c r="N133" i="11"/>
  <c r="H133" i="11"/>
  <c r="D135" i="11"/>
  <c r="E134" i="11"/>
  <c r="M134" i="11" s="1"/>
  <c r="C135" i="11" l="1"/>
  <c r="N134" i="11"/>
  <c r="H134" i="11"/>
  <c r="F134" i="11"/>
  <c r="S130" i="11"/>
  <c r="W130" i="11"/>
  <c r="T130" i="11"/>
  <c r="J132" i="11"/>
  <c r="K132" i="11" s="1"/>
  <c r="X130" i="11"/>
  <c r="Y130" i="11" s="1"/>
  <c r="U131" i="11"/>
  <c r="Q131" i="11"/>
  <c r="O133" i="11"/>
  <c r="P133" i="11" s="1"/>
  <c r="V133" i="11" s="1"/>
  <c r="G133" i="11"/>
  <c r="I133" i="11" s="1"/>
  <c r="D136" i="11"/>
  <c r="E135" i="11"/>
  <c r="M135" i="11" s="1"/>
  <c r="J133" i="11" l="1"/>
  <c r="K133" i="11" s="1"/>
  <c r="X131" i="11"/>
  <c r="Y131" i="11" s="1"/>
  <c r="Q132" i="11"/>
  <c r="U132" i="11"/>
  <c r="G134" i="11"/>
  <c r="I134" i="11" s="1"/>
  <c r="O134" i="11"/>
  <c r="P134" i="11" s="1"/>
  <c r="V134" i="11" s="1"/>
  <c r="C136" i="11"/>
  <c r="N135" i="11"/>
  <c r="H135" i="11"/>
  <c r="F135" i="11"/>
  <c r="D137" i="11"/>
  <c r="E136" i="11"/>
  <c r="M136" i="11" s="1"/>
  <c r="W131" i="11"/>
  <c r="T131" i="11"/>
  <c r="S131" i="11"/>
  <c r="Q133" i="11" l="1"/>
  <c r="U133" i="11"/>
  <c r="X132" i="11"/>
  <c r="Y132" i="11"/>
  <c r="O135" i="11"/>
  <c r="P135" i="11" s="1"/>
  <c r="V135" i="11" s="1"/>
  <c r="G135" i="11"/>
  <c r="I135" i="11" s="1"/>
  <c r="C137" i="11"/>
  <c r="N136" i="11"/>
  <c r="H136" i="11"/>
  <c r="F136" i="11"/>
  <c r="W132" i="11"/>
  <c r="T132" i="11"/>
  <c r="S132" i="11"/>
  <c r="D138" i="11"/>
  <c r="E137" i="11"/>
  <c r="M137" i="11" s="1"/>
  <c r="J134" i="11"/>
  <c r="K134" i="11" s="1"/>
  <c r="Q134" i="11" l="1"/>
  <c r="U134" i="11"/>
  <c r="W133" i="11"/>
  <c r="T133" i="11"/>
  <c r="S133" i="11"/>
  <c r="J135" i="11"/>
  <c r="K135" i="11" s="1"/>
  <c r="X133" i="11"/>
  <c r="Y133" i="11" s="1"/>
  <c r="D139" i="11"/>
  <c r="O136" i="11"/>
  <c r="P136" i="11" s="1"/>
  <c r="V136" i="11" s="1"/>
  <c r="G136" i="11"/>
  <c r="I136" i="11" s="1"/>
  <c r="C138" i="11"/>
  <c r="E138" i="11" s="1"/>
  <c r="M138" i="11" s="1"/>
  <c r="N137" i="11"/>
  <c r="H137" i="11"/>
  <c r="F137" i="11"/>
  <c r="O137" i="11" l="1"/>
  <c r="P137" i="11" s="1"/>
  <c r="V137" i="11" s="1"/>
  <c r="G137" i="11"/>
  <c r="I137" i="11" s="1"/>
  <c r="C139" i="11"/>
  <c r="N138" i="11"/>
  <c r="H138" i="11"/>
  <c r="F138" i="11"/>
  <c r="D140" i="11"/>
  <c r="E139" i="11"/>
  <c r="M139" i="11" s="1"/>
  <c r="S134" i="11"/>
  <c r="W134" i="11"/>
  <c r="T134" i="11"/>
  <c r="U135" i="11"/>
  <c r="Q135" i="11"/>
  <c r="X134" i="11"/>
  <c r="Y134" i="11" s="1"/>
  <c r="J136" i="11"/>
  <c r="K136" i="11" s="1"/>
  <c r="J137" i="11" l="1"/>
  <c r="K137" i="11" s="1"/>
  <c r="W135" i="11"/>
  <c r="T135" i="11"/>
  <c r="S135" i="11"/>
  <c r="D141" i="11"/>
  <c r="Q136" i="11"/>
  <c r="U136" i="11"/>
  <c r="Y135" i="11"/>
  <c r="X135" i="11"/>
  <c r="G138" i="11"/>
  <c r="I138" i="11" s="1"/>
  <c r="O138" i="11"/>
  <c r="P138" i="11" s="1"/>
  <c r="V138" i="11" s="1"/>
  <c r="C140" i="11"/>
  <c r="E140" i="11" s="1"/>
  <c r="M140" i="11" s="1"/>
  <c r="N139" i="11"/>
  <c r="H139" i="11"/>
  <c r="F139" i="11"/>
  <c r="Q137" i="11" l="1"/>
  <c r="U137" i="11"/>
  <c r="J138" i="11"/>
  <c r="K138" i="11" s="1"/>
  <c r="W136" i="11"/>
  <c r="T136" i="11"/>
  <c r="S136" i="11"/>
  <c r="O139" i="11"/>
  <c r="P139" i="11" s="1"/>
  <c r="V139" i="11" s="1"/>
  <c r="G139" i="11"/>
  <c r="I139" i="11" s="1"/>
  <c r="C141" i="11"/>
  <c r="E141" i="11" s="1"/>
  <c r="M141" i="11" s="1"/>
  <c r="N140" i="11"/>
  <c r="H140" i="11"/>
  <c r="F140" i="11"/>
  <c r="D142" i="11"/>
  <c r="X136" i="11"/>
  <c r="Y136" i="11"/>
  <c r="U138" i="11" l="1"/>
  <c r="Q138" i="11"/>
  <c r="O140" i="11"/>
  <c r="P140" i="11" s="1"/>
  <c r="V140" i="11" s="1"/>
  <c r="G140" i="11"/>
  <c r="I140" i="11" s="1"/>
  <c r="C142" i="11"/>
  <c r="F141" i="11"/>
  <c r="N141" i="11"/>
  <c r="H141" i="11"/>
  <c r="X137" i="11"/>
  <c r="Y137" i="11" s="1"/>
  <c r="D143" i="11"/>
  <c r="E142" i="11"/>
  <c r="M142" i="11" s="1"/>
  <c r="J139" i="11"/>
  <c r="K139" i="11" s="1"/>
  <c r="W137" i="11"/>
  <c r="T137" i="11"/>
  <c r="S137" i="11"/>
  <c r="U139" i="11" l="1"/>
  <c r="Q139" i="11"/>
  <c r="C143" i="11"/>
  <c r="N142" i="11"/>
  <c r="H142" i="11"/>
  <c r="F142" i="11"/>
  <c r="D144" i="11"/>
  <c r="E143" i="11"/>
  <c r="M143" i="11" s="1"/>
  <c r="K140" i="11"/>
  <c r="J140" i="11"/>
  <c r="S138" i="11"/>
  <c r="W138" i="11"/>
  <c r="T138" i="11"/>
  <c r="O141" i="11"/>
  <c r="P141" i="11" s="1"/>
  <c r="V141" i="11" s="1"/>
  <c r="G141" i="11"/>
  <c r="I141" i="11" s="1"/>
  <c r="X138" i="11"/>
  <c r="Y138" i="11" s="1"/>
  <c r="G142" i="11" l="1"/>
  <c r="I142" i="11" s="1"/>
  <c r="O142" i="11"/>
  <c r="P142" i="11" s="1"/>
  <c r="V142" i="11" s="1"/>
  <c r="C144" i="11"/>
  <c r="E144" i="11" s="1"/>
  <c r="M144" i="11" s="1"/>
  <c r="N143" i="11"/>
  <c r="H143" i="11"/>
  <c r="F143" i="11"/>
  <c r="J141" i="11"/>
  <c r="K141" i="11" s="1"/>
  <c r="Q140" i="11"/>
  <c r="U140" i="11"/>
  <c r="W139" i="11"/>
  <c r="T139" i="11"/>
  <c r="S139" i="11"/>
  <c r="D145" i="11"/>
  <c r="X139" i="11"/>
  <c r="Y139" i="11" s="1"/>
  <c r="Q141" i="11" l="1"/>
  <c r="U141" i="11"/>
  <c r="W140" i="11"/>
  <c r="T140" i="11"/>
  <c r="S140" i="11"/>
  <c r="J142" i="11"/>
  <c r="K142" i="11" s="1"/>
  <c r="D146" i="11"/>
  <c r="X140" i="11"/>
  <c r="Y140" i="11" s="1"/>
  <c r="O143" i="11"/>
  <c r="P143" i="11" s="1"/>
  <c r="V143" i="11" s="1"/>
  <c r="G143" i="11"/>
  <c r="I143" i="11" s="1"/>
  <c r="C145" i="11"/>
  <c r="E145" i="11" s="1"/>
  <c r="M145" i="11" s="1"/>
  <c r="N144" i="11"/>
  <c r="H144" i="11"/>
  <c r="F144" i="11"/>
  <c r="Q142" i="11" l="1"/>
  <c r="U142" i="11"/>
  <c r="J143" i="11"/>
  <c r="K143" i="11" s="1"/>
  <c r="D147" i="11"/>
  <c r="X141" i="11"/>
  <c r="Y141" i="11" s="1"/>
  <c r="O144" i="11"/>
  <c r="P144" i="11" s="1"/>
  <c r="V144" i="11" s="1"/>
  <c r="G144" i="11"/>
  <c r="I144" i="11" s="1"/>
  <c r="C146" i="11"/>
  <c r="N145" i="11"/>
  <c r="H145" i="11"/>
  <c r="F145" i="11"/>
  <c r="W141" i="11"/>
  <c r="T141" i="11"/>
  <c r="S141" i="11"/>
  <c r="U143" i="11" l="1"/>
  <c r="Q143" i="11"/>
  <c r="N146" i="11"/>
  <c r="N147" i="11" s="1"/>
  <c r="H146" i="11"/>
  <c r="H147" i="11" s="1"/>
  <c r="F146" i="11"/>
  <c r="C147" i="11"/>
  <c r="O145" i="11"/>
  <c r="P145" i="11" s="1"/>
  <c r="V145" i="11" s="1"/>
  <c r="G145" i="11"/>
  <c r="I145" i="11" s="1"/>
  <c r="J144" i="11"/>
  <c r="K144" i="11" s="1"/>
  <c r="X142" i="11"/>
  <c r="Y142" i="11" s="1"/>
  <c r="E146" i="11"/>
  <c r="S142" i="11"/>
  <c r="W142" i="11"/>
  <c r="T142" i="11"/>
  <c r="Q144" i="11" l="1"/>
  <c r="U144" i="11"/>
  <c r="J145" i="11"/>
  <c r="K145" i="11" s="1"/>
  <c r="G146" i="11"/>
  <c r="I146" i="11" s="1"/>
  <c r="O146" i="11"/>
  <c r="O147" i="11" s="1"/>
  <c r="F147" i="11"/>
  <c r="G147" i="11" s="1"/>
  <c r="W143" i="11"/>
  <c r="T143" i="11"/>
  <c r="S143" i="11"/>
  <c r="M146" i="11"/>
  <c r="E147" i="11"/>
  <c r="X143" i="11"/>
  <c r="Y143" i="11" s="1"/>
  <c r="U145" i="11" l="1"/>
  <c r="Q145" i="11"/>
  <c r="J146" i="11"/>
  <c r="K146" i="11" s="1"/>
  <c r="I147" i="11"/>
  <c r="J147" i="11" s="1"/>
  <c r="X144" i="11"/>
  <c r="Y144" i="11" s="1"/>
  <c r="P146" i="11"/>
  <c r="M147" i="11"/>
  <c r="W144" i="11"/>
  <c r="T144" i="11"/>
  <c r="S144" i="11"/>
  <c r="Q146" i="11" l="1"/>
  <c r="U146" i="11"/>
  <c r="K147" i="11"/>
  <c r="W145" i="11"/>
  <c r="T145" i="11"/>
  <c r="S145" i="11"/>
  <c r="X145" i="11"/>
  <c r="Y145" i="11" s="1"/>
  <c r="V146" i="11"/>
  <c r="V147" i="11" s="1"/>
  <c r="P147" i="11"/>
  <c r="X146" i="11" l="1"/>
  <c r="X147" i="11" s="1"/>
  <c r="U147" i="11"/>
  <c r="S146" i="11"/>
  <c r="S147" i="11" s="1"/>
  <c r="W146" i="11"/>
  <c r="W147" i="11" s="1"/>
  <c r="T146" i="11"/>
  <c r="T147" i="11" s="1"/>
  <c r="Q147" i="11"/>
  <c r="Y146" i="11" l="1"/>
  <c r="Y147" i="11" l="1"/>
  <c r="U60" i="11" l="1"/>
  <c r="V60" i="11" s="1"/>
  <c r="T62" i="11"/>
  <c r="U62" i="11" s="1"/>
  <c r="T63" i="11"/>
  <c r="U63" i="11" s="1"/>
  <c r="T64" i="11"/>
  <c r="U64" i="11" s="1"/>
  <c r="T65" i="11"/>
  <c r="U65" i="11" s="1"/>
  <c r="T66" i="11"/>
  <c r="U66" i="11" s="1"/>
  <c r="T67" i="11"/>
  <c r="U67" i="11" s="1"/>
  <c r="T68" i="11"/>
  <c r="U68" i="11" s="1"/>
  <c r="T69" i="11"/>
  <c r="U69" i="11" s="1"/>
  <c r="T70" i="11"/>
  <c r="U70" i="11" s="1"/>
  <c r="T71" i="11"/>
  <c r="U71" i="11" s="1"/>
  <c r="T72" i="11"/>
  <c r="U72" i="11" s="1"/>
  <c r="T73" i="11"/>
  <c r="U73" i="11" s="1"/>
  <c r="T74" i="11"/>
  <c r="U74" i="11" s="1"/>
  <c r="T75" i="11"/>
  <c r="U75" i="11" s="1"/>
  <c r="T76" i="11"/>
  <c r="U76" i="11" s="1"/>
  <c r="T77" i="11"/>
  <c r="U77" i="11" s="1"/>
  <c r="T78" i="11"/>
  <c r="U78" i="11" s="1"/>
  <c r="T79" i="11"/>
  <c r="U79" i="11" s="1"/>
  <c r="T80" i="11"/>
  <c r="U80" i="11" s="1"/>
  <c r="T81" i="11"/>
  <c r="U81" i="11" s="1"/>
  <c r="T61" i="11"/>
  <c r="U61" i="11" s="1"/>
  <c r="J60" i="11"/>
  <c r="K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I60" i="11"/>
  <c r="C26" i="11"/>
  <c r="D62" i="1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76" i="11" s="1"/>
  <c r="D77" i="11" s="1"/>
  <c r="D78" i="11" s="1"/>
  <c r="D79" i="11" s="1"/>
  <c r="D80" i="11" s="1"/>
  <c r="D81" i="11" s="1"/>
  <c r="C61" i="11"/>
  <c r="F61" i="11" s="1"/>
  <c r="A176" i="11"/>
  <c r="A158" i="11"/>
  <c r="A30" i="11"/>
  <c r="F17" i="11"/>
  <c r="N60" i="11" s="1"/>
  <c r="W60" i="11" l="1"/>
  <c r="H61" i="11"/>
  <c r="L60" i="11"/>
  <c r="M60" i="11"/>
  <c r="C62" i="11"/>
  <c r="E62" i="11" s="1"/>
  <c r="E61" i="11"/>
  <c r="K61" i="11" s="1"/>
  <c r="L61" i="11" s="1"/>
  <c r="G61" i="11"/>
  <c r="N61" i="11"/>
  <c r="R61" i="11" s="1"/>
  <c r="B3" i="11"/>
  <c r="L97" i="11"/>
  <c r="L99" i="11" s="1"/>
  <c r="AB106" i="11" l="1"/>
  <c r="AB107" i="11"/>
  <c r="AC107" i="11" s="1"/>
  <c r="AB108" i="11"/>
  <c r="AC108" i="11" s="1"/>
  <c r="AD108" i="11" s="1"/>
  <c r="AE108" i="11" s="1"/>
  <c r="AF108" i="11" s="1"/>
  <c r="AB109" i="11"/>
  <c r="AC109" i="11" s="1"/>
  <c r="AD109" i="11" s="1"/>
  <c r="AE109" i="11" s="1"/>
  <c r="AF109" i="11" s="1"/>
  <c r="AB110" i="11"/>
  <c r="AC110" i="11" s="1"/>
  <c r="AD110" i="11" s="1"/>
  <c r="AE110" i="11" s="1"/>
  <c r="AF110" i="11" s="1"/>
  <c r="AB111" i="11"/>
  <c r="AC111" i="11" s="1"/>
  <c r="AD111" i="11" s="1"/>
  <c r="AE111" i="11" s="1"/>
  <c r="AF111" i="11" s="1"/>
  <c r="AB112" i="11"/>
  <c r="AC112" i="11" s="1"/>
  <c r="AD112" i="11" s="1"/>
  <c r="AE112" i="11" s="1"/>
  <c r="AF112" i="11" s="1"/>
  <c r="AB113" i="11"/>
  <c r="AC113" i="11" s="1"/>
  <c r="AD113" i="11" s="1"/>
  <c r="AE113" i="11" s="1"/>
  <c r="AF113" i="11" s="1"/>
  <c r="AB114" i="11"/>
  <c r="AC114" i="11" s="1"/>
  <c r="AD114" i="11" s="1"/>
  <c r="AE114" i="11" s="1"/>
  <c r="AF114" i="11" s="1"/>
  <c r="AB115" i="11"/>
  <c r="AC115" i="11" s="1"/>
  <c r="AD115" i="11" s="1"/>
  <c r="AE115" i="11" s="1"/>
  <c r="AF115" i="11" s="1"/>
  <c r="AB116" i="11"/>
  <c r="AC116" i="11" s="1"/>
  <c r="AD116" i="11" s="1"/>
  <c r="AE116" i="11" s="1"/>
  <c r="AF116" i="11" s="1"/>
  <c r="AB117" i="11"/>
  <c r="AC117" i="11" s="1"/>
  <c r="AD117" i="11" s="1"/>
  <c r="AE117" i="11" s="1"/>
  <c r="AF117" i="11" s="1"/>
  <c r="AB118" i="11"/>
  <c r="AC118" i="11" s="1"/>
  <c r="AD118" i="11" s="1"/>
  <c r="AE118" i="11" s="1"/>
  <c r="AF118" i="11" s="1"/>
  <c r="AB119" i="11"/>
  <c r="AC119" i="11" s="1"/>
  <c r="AD119" i="11" s="1"/>
  <c r="AE119" i="11" s="1"/>
  <c r="AF119" i="11" s="1"/>
  <c r="AB120" i="11"/>
  <c r="AC120" i="11" s="1"/>
  <c r="AD120" i="11" s="1"/>
  <c r="AE120" i="11" s="1"/>
  <c r="AF120" i="11" s="1"/>
  <c r="AB121" i="11"/>
  <c r="AC121" i="11" s="1"/>
  <c r="AD121" i="11" s="1"/>
  <c r="AE121" i="11" s="1"/>
  <c r="AF121" i="11" s="1"/>
  <c r="AB122" i="11"/>
  <c r="AC122" i="11" s="1"/>
  <c r="AD122" i="11" s="1"/>
  <c r="AE122" i="11" s="1"/>
  <c r="AF122" i="11" s="1"/>
  <c r="AB123" i="11"/>
  <c r="AC123" i="11" s="1"/>
  <c r="AD123" i="11" s="1"/>
  <c r="AE123" i="11" s="1"/>
  <c r="AF123" i="11" s="1"/>
  <c r="AB124" i="11"/>
  <c r="AC124" i="11" s="1"/>
  <c r="AD124" i="11" s="1"/>
  <c r="AE124" i="11" s="1"/>
  <c r="AF124" i="11" s="1"/>
  <c r="AB125" i="11"/>
  <c r="AC125" i="11" s="1"/>
  <c r="AD125" i="11" s="1"/>
  <c r="AE125" i="11" s="1"/>
  <c r="AF125" i="11" s="1"/>
  <c r="AB126" i="11"/>
  <c r="AC126" i="11" s="1"/>
  <c r="AD126" i="11" s="1"/>
  <c r="AE126" i="11" s="1"/>
  <c r="AF126" i="11" s="1"/>
  <c r="AB127" i="11"/>
  <c r="AC127" i="11" s="1"/>
  <c r="AD127" i="11" s="1"/>
  <c r="AE127" i="11" s="1"/>
  <c r="AF127" i="11" s="1"/>
  <c r="AB128" i="11"/>
  <c r="AC128" i="11" s="1"/>
  <c r="AD128" i="11" s="1"/>
  <c r="AE128" i="11" s="1"/>
  <c r="AB129" i="11"/>
  <c r="AC129" i="11" s="1"/>
  <c r="AD129" i="11" s="1"/>
  <c r="AE129" i="11" s="1"/>
  <c r="AF129" i="11" s="1"/>
  <c r="AB130" i="11"/>
  <c r="AC130" i="11" s="1"/>
  <c r="AD130" i="11" s="1"/>
  <c r="AE130" i="11" s="1"/>
  <c r="AF130" i="11" s="1"/>
  <c r="AB131" i="11"/>
  <c r="AC131" i="11" s="1"/>
  <c r="AD131" i="11" s="1"/>
  <c r="AE131" i="11" s="1"/>
  <c r="AF131" i="11" s="1"/>
  <c r="AB132" i="11"/>
  <c r="AC132" i="11" s="1"/>
  <c r="AD132" i="11" s="1"/>
  <c r="AE132" i="11" s="1"/>
  <c r="AF132" i="11" s="1"/>
  <c r="AB133" i="11"/>
  <c r="AC133" i="11" s="1"/>
  <c r="AD133" i="11" s="1"/>
  <c r="AE133" i="11" s="1"/>
  <c r="AF133" i="11" s="1"/>
  <c r="AB134" i="11"/>
  <c r="AC134" i="11" s="1"/>
  <c r="AD134" i="11" s="1"/>
  <c r="AE134" i="11" s="1"/>
  <c r="AF134" i="11" s="1"/>
  <c r="AB135" i="11"/>
  <c r="AC135" i="11" s="1"/>
  <c r="AD135" i="11" s="1"/>
  <c r="AE135" i="11" s="1"/>
  <c r="AF135" i="11" s="1"/>
  <c r="AB136" i="11"/>
  <c r="AC136" i="11" s="1"/>
  <c r="AD136" i="11" s="1"/>
  <c r="AE136" i="11" s="1"/>
  <c r="AF136" i="11" s="1"/>
  <c r="AB137" i="11"/>
  <c r="AC137" i="11" s="1"/>
  <c r="AD137" i="11" s="1"/>
  <c r="AE137" i="11" s="1"/>
  <c r="AF137" i="11" s="1"/>
  <c r="AB138" i="11"/>
  <c r="AC138" i="11" s="1"/>
  <c r="AD138" i="11" s="1"/>
  <c r="AE138" i="11" s="1"/>
  <c r="AF138" i="11" s="1"/>
  <c r="AB139" i="11"/>
  <c r="AC139" i="11" s="1"/>
  <c r="AD139" i="11" s="1"/>
  <c r="AE139" i="11" s="1"/>
  <c r="AF139" i="11" s="1"/>
  <c r="AB140" i="11"/>
  <c r="AC140" i="11" s="1"/>
  <c r="AD140" i="11" s="1"/>
  <c r="AE140" i="11" s="1"/>
  <c r="AF140" i="11" s="1"/>
  <c r="AB141" i="11"/>
  <c r="AC141" i="11" s="1"/>
  <c r="AD141" i="11" s="1"/>
  <c r="AE141" i="11" s="1"/>
  <c r="AF141" i="11" s="1"/>
  <c r="AB142" i="11"/>
  <c r="AC142" i="11" s="1"/>
  <c r="AD142" i="11" s="1"/>
  <c r="AE142" i="11" s="1"/>
  <c r="AF142" i="11" s="1"/>
  <c r="AB143" i="11"/>
  <c r="AC143" i="11" s="1"/>
  <c r="AD143" i="11" s="1"/>
  <c r="AE143" i="11" s="1"/>
  <c r="AF143" i="11" s="1"/>
  <c r="AB144" i="11"/>
  <c r="AC144" i="11" s="1"/>
  <c r="AD144" i="11" s="1"/>
  <c r="AE144" i="11" s="1"/>
  <c r="AF144" i="11" s="1"/>
  <c r="AB145" i="11"/>
  <c r="AC145" i="11" s="1"/>
  <c r="AD145" i="11" s="1"/>
  <c r="AE145" i="11" s="1"/>
  <c r="AF145" i="11" s="1"/>
  <c r="AB146" i="11"/>
  <c r="AC146" i="11" s="1"/>
  <c r="AD146" i="11" s="1"/>
  <c r="AE146" i="11" s="1"/>
  <c r="AF146" i="11" s="1"/>
  <c r="O60" i="11"/>
  <c r="P60" i="11" s="1"/>
  <c r="I61" i="11"/>
  <c r="C63" i="11"/>
  <c r="E63" i="11" s="1"/>
  <c r="G62" i="11"/>
  <c r="N62" i="11"/>
  <c r="R62" i="11" s="1"/>
  <c r="F62" i="11"/>
  <c r="H62" i="11" s="1"/>
  <c r="C152" i="11" l="1"/>
  <c r="D152" i="11" s="1"/>
  <c r="AB147" i="11"/>
  <c r="AC106" i="11"/>
  <c r="M61" i="11"/>
  <c r="O61" i="11" s="1"/>
  <c r="P61" i="11" s="1"/>
  <c r="Q61" i="11" s="1"/>
  <c r="I62" i="11"/>
  <c r="G63" i="11"/>
  <c r="C64" i="11"/>
  <c r="E64" i="11" s="1"/>
  <c r="N63" i="11"/>
  <c r="R63" i="11" s="1"/>
  <c r="F63" i="11"/>
  <c r="H63" i="11" s="1"/>
  <c r="K62" i="11"/>
  <c r="L62" i="11" s="1"/>
  <c r="AD106" i="11" l="1"/>
  <c r="AC147" i="11"/>
  <c r="K63" i="11"/>
  <c r="L63" i="11" s="1"/>
  <c r="S61" i="11"/>
  <c r="M62" i="11"/>
  <c r="O62" i="11" s="1"/>
  <c r="C65" i="11"/>
  <c r="E65" i="11" s="1"/>
  <c r="F64" i="11"/>
  <c r="H64" i="11" s="1"/>
  <c r="N64" i="11"/>
  <c r="R64" i="11" s="1"/>
  <c r="G64" i="11"/>
  <c r="I63" i="11"/>
  <c r="AD147" i="11" l="1"/>
  <c r="AE106" i="11"/>
  <c r="I64" i="11"/>
  <c r="M64" i="11" s="1"/>
  <c r="K64" i="11"/>
  <c r="L64" i="11" s="1"/>
  <c r="V61" i="11"/>
  <c r="M63" i="11"/>
  <c r="O63" i="11" s="1"/>
  <c r="C66" i="11"/>
  <c r="N65" i="11"/>
  <c r="R65" i="11" s="1"/>
  <c r="G65" i="11"/>
  <c r="F65" i="11"/>
  <c r="H65" i="11" s="1"/>
  <c r="P62" i="11"/>
  <c r="Q62" i="11" s="1"/>
  <c r="AF106" i="11" l="1"/>
  <c r="AE147" i="11"/>
  <c r="W61" i="11"/>
  <c r="O64" i="11"/>
  <c r="P64" i="11" s="1"/>
  <c r="Q64" i="11" s="1"/>
  <c r="S64" i="11" s="1"/>
  <c r="V64" i="11" s="1"/>
  <c r="S62" i="11"/>
  <c r="I65" i="11"/>
  <c r="K65" i="11"/>
  <c r="L65" i="11" s="1"/>
  <c r="C67" i="11"/>
  <c r="N66" i="11"/>
  <c r="R66" i="11" s="1"/>
  <c r="F66" i="11"/>
  <c r="H66" i="11" s="1"/>
  <c r="G66" i="11"/>
  <c r="P63" i="11"/>
  <c r="Q63" i="11" s="1"/>
  <c r="E66" i="11"/>
  <c r="I66" i="11" l="1"/>
  <c r="M66" i="11" s="1"/>
  <c r="S63" i="11"/>
  <c r="V63" i="11" s="1"/>
  <c r="C68" i="11"/>
  <c r="E68" i="11" s="1"/>
  <c r="F67" i="11"/>
  <c r="H67" i="11" s="1"/>
  <c r="N67" i="11"/>
  <c r="R67" i="11" s="1"/>
  <c r="G67" i="11"/>
  <c r="E67" i="11"/>
  <c r="M65" i="11"/>
  <c r="O65" i="11" s="1"/>
  <c r="V62" i="11"/>
  <c r="K66" i="11"/>
  <c r="L66" i="11" s="1"/>
  <c r="W62" i="11" l="1"/>
  <c r="W63" i="11" s="1"/>
  <c r="W64" i="11" s="1"/>
  <c r="K67" i="11"/>
  <c r="L67" i="11" s="1"/>
  <c r="I67" i="11"/>
  <c r="M67" i="11" s="1"/>
  <c r="O66" i="11"/>
  <c r="P66" i="11" s="1"/>
  <c r="Q66" i="11" s="1"/>
  <c r="S66" i="11" s="1"/>
  <c r="V66" i="11" s="1"/>
  <c r="P65" i="11"/>
  <c r="Q65" i="11" s="1"/>
  <c r="C69" i="11"/>
  <c r="E69" i="11" s="1"/>
  <c r="G68" i="11"/>
  <c r="F68" i="11"/>
  <c r="H68" i="11" s="1"/>
  <c r="N68" i="11"/>
  <c r="R68" i="11" s="1"/>
  <c r="O67" i="11" l="1"/>
  <c r="P67" i="11" s="1"/>
  <c r="Q67" i="11" s="1"/>
  <c r="S67" i="11" s="1"/>
  <c r="V67" i="11" s="1"/>
  <c r="I68" i="11"/>
  <c r="M68" i="11" s="1"/>
  <c r="K68" i="11"/>
  <c r="L68" i="11" s="1"/>
  <c r="C70" i="11"/>
  <c r="E70" i="11" s="1"/>
  <c r="N69" i="11"/>
  <c r="R69" i="11" s="1"/>
  <c r="G69" i="11"/>
  <c r="F69" i="11"/>
  <c r="H69" i="11" s="1"/>
  <c r="S65" i="11"/>
  <c r="O68" i="11" l="1"/>
  <c r="P68" i="11" s="1"/>
  <c r="Q68" i="11" s="1"/>
  <c r="V65" i="11"/>
  <c r="C71" i="11"/>
  <c r="E71" i="11" s="1"/>
  <c r="N70" i="11"/>
  <c r="R70" i="11" s="1"/>
  <c r="G70" i="11"/>
  <c r="F70" i="11"/>
  <c r="H70" i="11" s="1"/>
  <c r="I69" i="11"/>
  <c r="K69" i="11"/>
  <c r="L69" i="11" s="1"/>
  <c r="W65" i="11" l="1"/>
  <c r="W66" i="11" s="1"/>
  <c r="W67" i="11" s="1"/>
  <c r="K70" i="11"/>
  <c r="L70" i="11" s="1"/>
  <c r="S68" i="11"/>
  <c r="M69" i="11"/>
  <c r="O69" i="11" s="1"/>
  <c r="I70" i="11"/>
  <c r="C72" i="11"/>
  <c r="E72" i="11" s="1"/>
  <c r="N71" i="11"/>
  <c r="R71" i="11" s="1"/>
  <c r="G71" i="11"/>
  <c r="F71" i="11"/>
  <c r="H71" i="11" s="1"/>
  <c r="I71" i="11" l="1"/>
  <c r="C73" i="11"/>
  <c r="G72" i="11"/>
  <c r="F72" i="11"/>
  <c r="H72" i="11" s="1"/>
  <c r="N72" i="11"/>
  <c r="R72" i="11" s="1"/>
  <c r="M70" i="11"/>
  <c r="O70" i="11" s="1"/>
  <c r="P69" i="11"/>
  <c r="Q69" i="11" s="1"/>
  <c r="S69" i="11" s="1"/>
  <c r="K71" i="11"/>
  <c r="L71" i="11" s="1"/>
  <c r="V68" i="11"/>
  <c r="W68" i="11" l="1"/>
  <c r="K72" i="11"/>
  <c r="L72" i="11" s="1"/>
  <c r="V69" i="11"/>
  <c r="P70" i="11"/>
  <c r="Q70" i="11" s="1"/>
  <c r="S70" i="11" s="1"/>
  <c r="V70" i="11" s="1"/>
  <c r="C74" i="11"/>
  <c r="G73" i="11"/>
  <c r="N73" i="11"/>
  <c r="R73" i="11" s="1"/>
  <c r="F73" i="11"/>
  <c r="H73" i="11" s="1"/>
  <c r="I72" i="11"/>
  <c r="E73" i="11"/>
  <c r="M71" i="11"/>
  <c r="O71" i="11" s="1"/>
  <c r="W69" i="11" l="1"/>
  <c r="W70" i="11" s="1"/>
  <c r="K73" i="11"/>
  <c r="L73" i="11" s="1"/>
  <c r="P71" i="11"/>
  <c r="Q71" i="11" s="1"/>
  <c r="S71" i="11" s="1"/>
  <c r="V71" i="11" s="1"/>
  <c r="M72" i="11"/>
  <c r="O72" i="11" s="1"/>
  <c r="I73" i="11"/>
  <c r="C75" i="11"/>
  <c r="E75" i="11" s="1"/>
  <c r="G74" i="11"/>
  <c r="F74" i="11"/>
  <c r="H74" i="11" s="1"/>
  <c r="N74" i="11"/>
  <c r="R74" i="11" s="1"/>
  <c r="E74" i="11"/>
  <c r="W71" i="11" l="1"/>
  <c r="K74" i="11"/>
  <c r="L74" i="11" s="1"/>
  <c r="P72" i="11"/>
  <c r="Q72" i="11" s="1"/>
  <c r="S72" i="11" s="1"/>
  <c r="V72" i="11" s="1"/>
  <c r="C76" i="11"/>
  <c r="E76" i="11" s="1"/>
  <c r="F75" i="11"/>
  <c r="H75" i="11" s="1"/>
  <c r="G75" i="11"/>
  <c r="N75" i="11"/>
  <c r="R75" i="11" s="1"/>
  <c r="I74" i="11"/>
  <c r="M73" i="11"/>
  <c r="O73" i="11" s="1"/>
  <c r="W72" i="11" l="1"/>
  <c r="P73" i="11"/>
  <c r="Q73" i="11" s="1"/>
  <c r="S73" i="11" s="1"/>
  <c r="M74" i="11"/>
  <c r="O74" i="11" s="1"/>
  <c r="I75" i="11"/>
  <c r="C77" i="11"/>
  <c r="F76" i="11"/>
  <c r="H76" i="11" s="1"/>
  <c r="N76" i="11"/>
  <c r="R76" i="11" s="1"/>
  <c r="G76" i="11"/>
  <c r="K75" i="11"/>
  <c r="L75" i="11" s="1"/>
  <c r="V73" i="11" l="1"/>
  <c r="P74" i="11"/>
  <c r="Q74" i="11" s="1"/>
  <c r="S74" i="11" s="1"/>
  <c r="V74" i="11" s="1"/>
  <c r="I76" i="11"/>
  <c r="M75" i="11"/>
  <c r="O75" i="11" s="1"/>
  <c r="C78" i="11"/>
  <c r="N77" i="11"/>
  <c r="R77" i="11" s="1"/>
  <c r="G77" i="11"/>
  <c r="F77" i="11"/>
  <c r="H77" i="11" s="1"/>
  <c r="K76" i="11"/>
  <c r="L76" i="11" s="1"/>
  <c r="E77" i="11"/>
  <c r="C45" i="11" l="1"/>
  <c r="C50" i="11" s="1"/>
  <c r="C46" i="11"/>
  <c r="W73" i="11"/>
  <c r="W74" i="11" s="1"/>
  <c r="K77" i="11"/>
  <c r="L77" i="11" s="1"/>
  <c r="I77" i="11"/>
  <c r="C79" i="11"/>
  <c r="E79" i="11" s="1"/>
  <c r="N78" i="11"/>
  <c r="R78" i="11" s="1"/>
  <c r="F78" i="11"/>
  <c r="H78" i="11" s="1"/>
  <c r="G78" i="11"/>
  <c r="P75" i="11"/>
  <c r="Q75" i="11" s="1"/>
  <c r="S75" i="11" s="1"/>
  <c r="V75" i="11" s="1"/>
  <c r="M76" i="11"/>
  <c r="O76" i="11" s="1"/>
  <c r="E78" i="11"/>
  <c r="K78" i="11" s="1"/>
  <c r="L78" i="11" s="1"/>
  <c r="C51" i="11" l="1"/>
  <c r="D46" i="11"/>
  <c r="D51" i="11" s="1"/>
  <c r="D164" i="11"/>
  <c r="E51" i="11"/>
  <c r="E46" i="11"/>
  <c r="D166" i="11" s="1"/>
  <c r="W75" i="11"/>
  <c r="D45" i="11"/>
  <c r="I78" i="11"/>
  <c r="M78" i="11" s="1"/>
  <c r="O78" i="11" s="1"/>
  <c r="M77" i="11"/>
  <c r="O77" i="11" s="1"/>
  <c r="P76" i="11"/>
  <c r="Q76" i="11" s="1"/>
  <c r="S76" i="11" s="1"/>
  <c r="V76" i="11" s="1"/>
  <c r="W76" i="11" s="1"/>
  <c r="C80" i="11"/>
  <c r="N79" i="11"/>
  <c r="R79" i="11" s="1"/>
  <c r="G79" i="11"/>
  <c r="F79" i="11"/>
  <c r="H79" i="11" s="1"/>
  <c r="D50" i="11" l="1"/>
  <c r="D165" i="11"/>
  <c r="P77" i="11"/>
  <c r="Q77" i="11" s="1"/>
  <c r="S77" i="11" s="1"/>
  <c r="V77" i="11" s="1"/>
  <c r="W77" i="11" s="1"/>
  <c r="I79" i="11"/>
  <c r="C81" i="11"/>
  <c r="F80" i="11"/>
  <c r="H80" i="11" s="1"/>
  <c r="N80" i="11"/>
  <c r="R80" i="11" s="1"/>
  <c r="G80" i="11"/>
  <c r="K79" i="11"/>
  <c r="L79" i="11" s="1"/>
  <c r="P78" i="11"/>
  <c r="Q78" i="11" s="1"/>
  <c r="S78" i="11" s="1"/>
  <c r="V78" i="11" s="1"/>
  <c r="E80" i="11"/>
  <c r="K80" i="11" l="1"/>
  <c r="L80" i="11" s="1"/>
  <c r="I80" i="11"/>
  <c r="M80" i="11" s="1"/>
  <c r="W78" i="11"/>
  <c r="N81" i="11"/>
  <c r="R81" i="11" s="1"/>
  <c r="G81" i="11"/>
  <c r="F81" i="11"/>
  <c r="H81" i="11" s="1"/>
  <c r="M79" i="11"/>
  <c r="O79" i="11" s="1"/>
  <c r="E81" i="11"/>
  <c r="K81" i="11" l="1"/>
  <c r="L81" i="11" s="1"/>
  <c r="O80" i="11"/>
  <c r="P80" i="11" s="1"/>
  <c r="Q80" i="11" s="1"/>
  <c r="S80" i="11" s="1"/>
  <c r="V80" i="11" s="1"/>
  <c r="P79" i="11"/>
  <c r="Q79" i="11" s="1"/>
  <c r="S79" i="11" s="1"/>
  <c r="V79" i="11" s="1"/>
  <c r="W79" i="11" s="1"/>
  <c r="I81" i="11"/>
  <c r="W80" i="11" l="1"/>
  <c r="M81" i="11"/>
  <c r="O81" i="11"/>
  <c r="P81" i="11" l="1"/>
  <c r="Q81" i="11" s="1"/>
  <c r="S81" i="11" l="1"/>
  <c r="V81" i="11" s="1"/>
  <c r="W81" i="11" s="1"/>
  <c r="Q82" i="11"/>
  <c r="B128" i="11" l="1"/>
  <c r="AF128" i="11"/>
  <c r="AF147" i="11"/>
</calcChain>
</file>

<file path=xl/sharedStrings.xml><?xml version="1.0" encoding="utf-8"?>
<sst xmlns="http://schemas.openxmlformats.org/spreadsheetml/2006/main" count="210" uniqueCount="170">
  <si>
    <t>bbls</t>
  </si>
  <si>
    <t>years</t>
  </si>
  <si>
    <t>Fixed</t>
  </si>
  <si>
    <t>Useful Life</t>
  </si>
  <si>
    <t>Severance Tax</t>
  </si>
  <si>
    <t>Calculate the value of the WHOLE asset, then consider your portion</t>
  </si>
  <si>
    <t>Mid Semester Cash Flow Problem</t>
  </si>
  <si>
    <t>1.  Forecast your oil, water and gas production streams.</t>
  </si>
  <si>
    <t>Assumptions:</t>
  </si>
  <si>
    <t xml:space="preserve">Oil Price:  </t>
  </si>
  <si>
    <t>$/bbl</t>
  </si>
  <si>
    <t>$/mcf</t>
  </si>
  <si>
    <t>Asset Base:</t>
  </si>
  <si>
    <t>Depletion:</t>
  </si>
  <si>
    <t>per bbl oil (gas is all associated gas, not included in depletion calculation)</t>
  </si>
  <si>
    <t>Operating Costs:</t>
  </si>
  <si>
    <t>$/year</t>
  </si>
  <si>
    <t>Variable - Water</t>
  </si>
  <si>
    <t>$/bbl water</t>
  </si>
  <si>
    <t>$/bbl oil</t>
  </si>
  <si>
    <t>Variable - Gas</t>
  </si>
  <si>
    <t>Variable - Oil</t>
  </si>
  <si>
    <t>Gas Price</t>
  </si>
  <si>
    <t>Royalty:</t>
  </si>
  <si>
    <t>Working Interest</t>
  </si>
  <si>
    <t>Income Tax Base:</t>
  </si>
  <si>
    <t>Oil Production:</t>
  </si>
  <si>
    <t>bbls/yr</t>
  </si>
  <si>
    <t>Water Prod</t>
  </si>
  <si>
    <t xml:space="preserve">Gas Production:  </t>
  </si>
  <si>
    <t>scf/bbl</t>
  </si>
  <si>
    <t>Decline</t>
  </si>
  <si>
    <t>increase/year</t>
  </si>
  <si>
    <t>Discount Rate:</t>
  </si>
  <si>
    <t>Base Case:</t>
  </si>
  <si>
    <t>Chemical Flood:</t>
  </si>
  <si>
    <t>1st yr production</t>
  </si>
  <si>
    <t>2nd yr production</t>
  </si>
  <si>
    <t>3rd yr production</t>
  </si>
  <si>
    <t>4 yr &amp; beyond</t>
  </si>
  <si>
    <t>New Decline</t>
  </si>
  <si>
    <t>water cut</t>
  </si>
  <si>
    <t>Fixed Cost:</t>
  </si>
  <si>
    <t>1.  Copy your previous table, adjust production stream to represent expectations.</t>
  </si>
  <si>
    <t>2. update revenue, fixed and variable costs</t>
  </si>
  <si>
    <t>discount rate:</t>
  </si>
  <si>
    <t>Well Asset Base</t>
  </si>
  <si>
    <t>Reserve (P1)</t>
  </si>
  <si>
    <r>
      <t>You own a majority share</t>
    </r>
    <r>
      <rPr>
        <sz val="14"/>
        <color rgb="FFFF0000"/>
        <rFont val="Calibri"/>
        <family val="2"/>
        <scheme val="minor"/>
      </rPr>
      <t xml:space="preserve"> (51%) </t>
    </r>
    <r>
      <rPr>
        <sz val="14"/>
        <color theme="1"/>
        <rFont val="Calibri"/>
        <family val="2"/>
        <scheme val="minor"/>
      </rPr>
      <t>of an old waterflood oil field that is producing 1,482,000 bbls/year on a 11% decline/year.  The field makes 80% water cut and increases at about 1% a year (ie., 80% WC 1st year, 81% 2nd yr, etc..).  In a waterflood, you basically recycle 90% of your produced water.  However, it costs a fair bit to clean the water, boost pressure and maintain your injection system so variable water cost is somewhat high.  You produce 500 cf/bbl associated gas.</t>
    </r>
  </si>
  <si>
    <t>New Asset Base:</t>
  </si>
  <si>
    <t>&gt;&gt; no new drilling, the chemical flood changes are addressed with surface facilities which are depreciated above.</t>
  </si>
  <si>
    <t>The flood is a proven technologya nd allows you to book more reserves.</t>
  </si>
  <si>
    <t>(for depreciation - base case has depreciated out all equipment)</t>
  </si>
  <si>
    <r>
      <t xml:space="preserve">2.  Calculate your revenues (oil and gas) and operating costs (fixed + variable for </t>
    </r>
    <r>
      <rPr>
        <u/>
        <sz val="11"/>
        <color theme="1"/>
        <rFont val="Calibri"/>
        <family val="2"/>
        <scheme val="minor"/>
      </rPr>
      <t>each</t>
    </r>
    <r>
      <rPr>
        <sz val="11"/>
        <color theme="1"/>
        <rFont val="Calibri"/>
        <family val="2"/>
        <scheme val="minor"/>
      </rPr>
      <t xml:space="preserve"> fluid) for the field.</t>
    </r>
  </si>
  <si>
    <t>6.  What is the field's cumulative production when it becomes economic?  Is it likely you will have to write off reserves?  (see P1 reserves in table).</t>
  </si>
  <si>
    <t>Note:  This is a 100% Asset Base number</t>
  </si>
  <si>
    <t>Note:  This is a 100% Reserve number</t>
  </si>
  <si>
    <t>3.  Calculate  Operating Cash, Your Tax base, Severance and Income tax and dNCF AT for your base case.</t>
  </si>
  <si>
    <t>4.  For the base case, when does it become uneconomic?  Before tax?  After Tax?    Uneconomic = Negative Undiscounted cash flow.  For NPV calculations, assume the field is suspended when it becomes uneconomic (ie.. You stop, no production, no expense)</t>
  </si>
  <si>
    <t>7.  What happens if you write off those reserves &amp; adjust your depletion rate accordingly?  -- Complete the table below for the original depletion rate and your final depletion rate assuming you writeoff the uneconomic reserves.</t>
  </si>
  <si>
    <t>Payout</t>
  </si>
  <si>
    <t>dNPV</t>
  </si>
  <si>
    <t>Use MID YEAR DISCOUNTING</t>
  </si>
  <si>
    <t>@ original $6.38 depletion factor.</t>
  </si>
  <si>
    <t>EUR</t>
  </si>
  <si>
    <t>dNPV AT*</t>
  </si>
  <si>
    <t>BT - Uneconomic@</t>
  </si>
  <si>
    <t>AT - Uneconomic@</t>
  </si>
  <si>
    <t>@ Your Revised depletion factor = $xxxxx/bbl</t>
  </si>
  <si>
    <t>declines at 9%/yr</t>
  </si>
  <si>
    <t>initially</t>
  </si>
  <si>
    <t>WC Increases</t>
  </si>
  <si>
    <t>per year</t>
  </si>
  <si>
    <t>Water cut Change</t>
  </si>
  <si>
    <t>&gt; Your Working Interest Share</t>
  </si>
  <si>
    <t>Use MACRS</t>
  </si>
  <si>
    <t>You are going to shift your conventional waterflood into tertiary EOR by adding chemicals that will improve sweep and flatten water cut increase.  The chemical flood requires $5 mm in upgrades to your facilities (your working interest share) to inject chemical and monitor for trace amounts in returns.  Additionally, you are implementing a new water injection control system.  You are anticipating a 4% boost in production from  yr 1 to yr 2.  It plateau's another year, then declines at 9%.  Water cut increase will slow down to 0.5% increase every per year.  Variable costs for oil &amp; water go up but not gas.  Fixed cost goes up.  Use MACRS depreciation on a 7 yr life.   Flood is expected to add another 2 mm bbls in reserves.</t>
  </si>
  <si>
    <t>Depletion Factor:</t>
  </si>
  <si>
    <t xml:space="preserve">         3a) a very common field performance indicater is OpInc/Production - Create a column that tracks the increase in Operating Margin/bbl of oil for this field</t>
  </si>
  <si>
    <t>Fill out these tables for the base case:</t>
  </si>
  <si>
    <t>Years*</t>
  </si>
  <si>
    <t>* Years to uneconomic - to the nearest 1/10th of a year.</t>
  </si>
  <si>
    <t>Economic Life:</t>
  </si>
  <si>
    <t>Economic Reserves:</t>
  </si>
  <si>
    <t>For this waterflood:</t>
  </si>
  <si>
    <t>Using Difference Analysis:</t>
  </si>
  <si>
    <t>dNPV of Chemical Flood</t>
  </si>
  <si>
    <t>dPIR of Chemical Flood</t>
  </si>
  <si>
    <t>dROI of Chemical Flood</t>
  </si>
  <si>
    <t>Discounted Payout (yrs)</t>
  </si>
  <si>
    <t>Based Solely on NPV values from Base Waterflood to Chemical Flood - would you do this project?  Yes/No and Why?</t>
  </si>
  <si>
    <t>Would you do this project?  Yes/No.  Why?</t>
  </si>
  <si>
    <t>If Facilities are $6mm, would you still do it?  Why?</t>
  </si>
  <si>
    <t>PUT CASH FLOW SHEET HERE</t>
  </si>
  <si>
    <t>Points</t>
  </si>
  <si>
    <t>&gt;&gt; no asset base or investment, this is irrelevant</t>
  </si>
  <si>
    <t>3.  Calculate Operating Income, Do tax Calculations and calculate dNPVAT.  Note:  determine when project becomes uneconomic.  Determine economic reserves.  Adjust depletion Factor, recalculate NPV and your AT financials.</t>
  </si>
  <si>
    <t>Points - Chemical Flood</t>
  </si>
  <si>
    <t>Points - Difference Analysis</t>
  </si>
  <si>
    <t>These questions are covered in the table below</t>
  </si>
  <si>
    <t>Total Points:</t>
  </si>
  <si>
    <t xml:space="preserve"> (discounted, after tax)</t>
  </si>
  <si>
    <t>dNPV AT:</t>
  </si>
  <si>
    <t>Year</t>
  </si>
  <si>
    <t>Watercut</t>
  </si>
  <si>
    <t>Base Case Cash Flow,,,,,,,,,,,,,,,,,,,,,</t>
  </si>
  <si>
    <t>Oil (bbl)</t>
  </si>
  <si>
    <t>Water (bbl)</t>
  </si>
  <si>
    <t>Gas (mcf)</t>
  </si>
  <si>
    <t>Oil Rev (net)</t>
  </si>
  <si>
    <t>Gas Rev (net)</t>
  </si>
  <si>
    <t>Total Rev (net)</t>
  </si>
  <si>
    <t>Fixed Opex (net)</t>
  </si>
  <si>
    <t>Var Opex (net)</t>
  </si>
  <si>
    <t>Total Opex</t>
  </si>
  <si>
    <t>Depletion (net)</t>
  </si>
  <si>
    <t>Taxable Income</t>
  </si>
  <si>
    <t>Income Tax</t>
  </si>
  <si>
    <t>OpInc AT</t>
  </si>
  <si>
    <t>Depl Addback</t>
  </si>
  <si>
    <t>Net Cash Flow</t>
  </si>
  <si>
    <t>Discount Year</t>
  </si>
  <si>
    <t>Discount Factor</t>
  </si>
  <si>
    <t>Disc NCF</t>
  </si>
  <si>
    <t>Cum Disc NCF</t>
  </si>
  <si>
    <t>Net Rev Interest</t>
  </si>
  <si>
    <t>After Tax</t>
  </si>
  <si>
    <t>N/A</t>
  </si>
  <si>
    <r>
      <t xml:space="preserve">You </t>
    </r>
    <r>
      <rPr>
        <b/>
        <sz val="12"/>
        <color theme="1"/>
        <rFont val="Calibri"/>
        <family val="2"/>
        <scheme val="minor"/>
      </rPr>
      <t>do not</t>
    </r>
    <r>
      <rPr>
        <sz val="12"/>
        <color theme="1"/>
        <rFont val="Calibri"/>
        <family val="2"/>
        <scheme val="minor"/>
      </rPr>
      <t xml:space="preserve"> have a payout time.</t>
    </r>
  </si>
  <si>
    <r>
      <t xml:space="preserve">So, You </t>
    </r>
    <r>
      <rPr>
        <b/>
        <sz val="12"/>
        <color theme="1"/>
        <rFont val="Calibri"/>
        <family val="2"/>
        <scheme val="minor"/>
      </rPr>
      <t>do not</t>
    </r>
    <r>
      <rPr>
        <sz val="12"/>
        <color theme="1"/>
        <rFont val="Calibri"/>
        <family val="2"/>
        <scheme val="minor"/>
      </rPr>
      <t xml:space="preserve"> need to compute that “dNPV” line.</t>
    </r>
  </si>
  <si>
    <t>Chemical Flood</t>
  </si>
  <si>
    <t>Gas Rev</t>
  </si>
  <si>
    <t>Oil Rev</t>
  </si>
  <si>
    <t>Oil Price</t>
  </si>
  <si>
    <t>Total Rev</t>
  </si>
  <si>
    <t xml:space="preserve">Rev-Roy </t>
  </si>
  <si>
    <t>Fixed cost</t>
  </si>
  <si>
    <t>Var Cost Water</t>
  </si>
  <si>
    <t>Var Cost Oil</t>
  </si>
  <si>
    <t>Var Cost Gas</t>
  </si>
  <si>
    <t>OPEX</t>
  </si>
  <si>
    <t>Operating Cost</t>
  </si>
  <si>
    <t>Net Revenue</t>
  </si>
  <si>
    <t>Before Tax</t>
  </si>
  <si>
    <t>Investment</t>
  </si>
  <si>
    <t>Opinc BT</t>
  </si>
  <si>
    <t>Opinc/Prod</t>
  </si>
  <si>
    <t>WI NRI</t>
  </si>
  <si>
    <t>WI OPEX</t>
  </si>
  <si>
    <t>Operat Cost</t>
  </si>
  <si>
    <t>Sev Tax</t>
  </si>
  <si>
    <t>Cash Flow BT</t>
  </si>
  <si>
    <t>Depreciation</t>
  </si>
  <si>
    <t>MACRS</t>
  </si>
  <si>
    <t>Depletion</t>
  </si>
  <si>
    <t>Taxable income</t>
  </si>
  <si>
    <t>Cash Flow AT</t>
  </si>
  <si>
    <t>DNCF</t>
  </si>
  <si>
    <t>MM BBL</t>
  </si>
  <si>
    <t>production stops</t>
  </si>
  <si>
    <t>For this chemical flood:</t>
  </si>
  <si>
    <t>Yes, The chemical flood helps the well produce more oil and for a longer time. Because of that, the project makes more money and the investment is recovered.</t>
  </si>
  <si>
    <t>Yes, I would still do it because the chemical flood still delivers a higher overall return even with the extra investment. The downside is the added late-life years where revenue is low but operating costs stay high, which squeezes margins.</t>
  </si>
  <si>
    <r>
      <t>es, based solely on NPV.</t>
    </r>
    <r>
      <rPr>
        <sz val="12"/>
        <color theme="1"/>
        <rFont val="Calibri"/>
        <family val="2"/>
        <scheme val="minor"/>
      </rPr>
      <t xml:space="preserve"> If the chemical flood NPV is higher than the base waterflood NPV, it creates more value, so you’d choose it </t>
    </r>
    <r>
      <rPr>
        <i/>
        <sz val="12"/>
        <color theme="1"/>
        <rFont val="Calibri"/>
        <family val="2"/>
        <scheme val="minor"/>
      </rPr>
      <t>on that single metric</t>
    </r>
    <r>
      <rPr>
        <sz val="12"/>
        <color theme="1"/>
        <rFont val="Calibri"/>
        <family val="2"/>
        <scheme val="minor"/>
      </rPr>
      <t>. But in real life you wouldn’t rely only on NPV, because risk, execution uncertainty</t>
    </r>
  </si>
  <si>
    <t xml:space="preserve">6th question: </t>
  </si>
  <si>
    <t>P1 reserves</t>
  </si>
  <si>
    <t>Written off</t>
  </si>
  <si>
    <t>New depletion factor</t>
  </si>
  <si>
    <t>MM BBl</t>
  </si>
  <si>
    <t>8.3yrs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</si>
</sst>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0.0%"/>
    <numFmt numFmtId="169" formatCode="_(&quot;$&quot;* #,##0_);_(&quot;$&quot;* \(#,##0\);_(&quot;$&quot;* &quot;-&quot;??_);_(@_)"/>
    <numFmt numFmtId="170" formatCode="_ * #,##0_ ;_ * \-#,##0_ ;_ * &quot;-&quot;?_ ;_ @_ "/>
    <numFmt numFmtId="171" formatCode="0.0"/>
    <numFmt numFmtId="172" formatCode="_(* #,##0.000_);_(* \(#,##0.000\);_(* &quot;-&quot;??_);_(@_)"/>
    <numFmt numFmtId="173" formatCode="_ * #,##0_ ;_ * \-#,##0_ ;_ * &quot;-&quot;??_ ;_ @_ "/>
    <numFmt numFmtId="174" formatCode="_-[$$-409]* #,##0.00_ ;_-[$$-409]* \-#,##0.00\ ;_-[$$-409]* &quot;-&quot;??_ ;_-@_ "/>
    <numFmt numFmtId="175" formatCode="_-[$$-409]* #,##0_ ;_-[$$-409]* \-#,##0\ ;_-[$$-409]* &quot;-&quot;??_ ;_-@_ "/>
    <numFmt numFmtId="176" formatCode="#,##0.00;[Red]#,##0.00"/>
    <numFmt numFmtId="177" formatCode="_(* #,##0.0_);_(* \(#,##0.0\);_(* &quot;-&quot;??_);_(@_)"/>
    <numFmt numFmtId="178" formatCode="_-[$$-409]* #,##0.0_ ;_-[$$-409]* \-#,##0.0\ ;_-[$$-409]* &quot;-&quot;?_ ;_-@_ "/>
  </numFmts>
  <fonts count="2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5">
    <xf numFmtId="0" fontId="0" fillId="0" borderId="0"/>
    <xf numFmtId="166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7" fillId="0" borderId="0" applyFont="0" applyFill="0" applyBorder="0" applyAlignment="0" applyProtection="0"/>
  </cellStyleXfs>
  <cellXfs count="134">
    <xf numFmtId="0" fontId="0" fillId="0" borderId="0" xfId="0"/>
    <xf numFmtId="0" fontId="11" fillId="0" borderId="0" xfId="4" applyFont="1"/>
    <xf numFmtId="0" fontId="9" fillId="0" borderId="0" xfId="4"/>
    <xf numFmtId="166" fontId="0" fillId="0" borderId="0" xfId="7" applyFont="1"/>
    <xf numFmtId="0" fontId="12" fillId="0" borderId="0" xfId="4" applyFont="1"/>
    <xf numFmtId="169" fontId="9" fillId="0" borderId="0" xfId="4" applyNumberFormat="1"/>
    <xf numFmtId="9" fontId="12" fillId="0" borderId="0" xfId="4" applyNumberFormat="1" applyFont="1"/>
    <xf numFmtId="0" fontId="7" fillId="0" borderId="0" xfId="4" applyFont="1"/>
    <xf numFmtId="167" fontId="9" fillId="0" borderId="0" xfId="1" applyNumberFormat="1" applyFont="1"/>
    <xf numFmtId="166" fontId="9" fillId="0" borderId="0" xfId="4" applyNumberFormat="1"/>
    <xf numFmtId="164" fontId="9" fillId="0" borderId="0" xfId="4" applyNumberFormat="1"/>
    <xf numFmtId="167" fontId="9" fillId="0" borderId="0" xfId="4" applyNumberFormat="1"/>
    <xf numFmtId="168" fontId="9" fillId="0" borderId="0" xfId="2" applyNumberFormat="1" applyFont="1" applyFill="1"/>
    <xf numFmtId="9" fontId="12" fillId="0" borderId="0" xfId="2" applyFont="1"/>
    <xf numFmtId="0" fontId="9" fillId="0" borderId="1" xfId="4" applyBorder="1"/>
    <xf numFmtId="0" fontId="6" fillId="0" borderId="0" xfId="4" applyFont="1"/>
    <xf numFmtId="0" fontId="6" fillId="0" borderId="1" xfId="4" applyFont="1" applyBorder="1"/>
    <xf numFmtId="0" fontId="15" fillId="5" borderId="0" xfId="0" applyFont="1" applyFill="1" applyAlignment="1">
      <alignment horizontal="left"/>
    </xf>
    <xf numFmtId="0" fontId="0" fillId="0" borderId="0" xfId="0" quotePrefix="1"/>
    <xf numFmtId="0" fontId="0" fillId="0" borderId="1" xfId="0" applyBorder="1"/>
    <xf numFmtId="169" fontId="0" fillId="0" borderId="1" xfId="0" applyNumberFormat="1" applyBorder="1"/>
    <xf numFmtId="167" fontId="0" fillId="0" borderId="0" xfId="1" applyNumberFormat="1" applyFont="1" applyBorder="1"/>
    <xf numFmtId="169" fontId="0" fillId="0" borderId="0" xfId="0" applyNumberFormat="1"/>
    <xf numFmtId="0" fontId="9" fillId="2" borderId="1" xfId="4" applyFill="1" applyBorder="1"/>
    <xf numFmtId="9" fontId="9" fillId="2" borderId="1" xfId="2" applyFont="1" applyFill="1" applyBorder="1"/>
    <xf numFmtId="169" fontId="9" fillId="2" borderId="1" xfId="3" applyNumberFormat="1" applyFont="1" applyFill="1" applyBorder="1"/>
    <xf numFmtId="164" fontId="9" fillId="2" borderId="1" xfId="4" applyNumberFormat="1" applyFill="1" applyBorder="1"/>
    <xf numFmtId="0" fontId="7" fillId="0" borderId="1" xfId="4" applyFont="1" applyBorder="1"/>
    <xf numFmtId="167" fontId="9" fillId="2" borderId="1" xfId="1" applyNumberFormat="1" applyFont="1" applyFill="1" applyBorder="1"/>
    <xf numFmtId="164" fontId="9" fillId="3" borderId="1" xfId="4" applyNumberFormat="1" applyFill="1" applyBorder="1"/>
    <xf numFmtId="0" fontId="5" fillId="0" borderId="1" xfId="4" applyFont="1" applyBorder="1"/>
    <xf numFmtId="168" fontId="9" fillId="2" borderId="1" xfId="2" applyNumberFormat="1" applyFont="1" applyFill="1" applyBorder="1"/>
    <xf numFmtId="10" fontId="9" fillId="2" borderId="1" xfId="2" applyNumberFormat="1" applyFont="1" applyFill="1" applyBorder="1"/>
    <xf numFmtId="9" fontId="9" fillId="2" borderId="1" xfId="2" quotePrefix="1" applyFont="1" applyFill="1" applyBorder="1"/>
    <xf numFmtId="168" fontId="9" fillId="2" borderId="1" xfId="4" applyNumberFormat="1" applyFill="1" applyBorder="1"/>
    <xf numFmtId="0" fontId="9" fillId="4" borderId="2" xfId="4" applyFill="1" applyBorder="1"/>
    <xf numFmtId="0" fontId="9" fillId="4" borderId="3" xfId="4" applyFill="1" applyBorder="1"/>
    <xf numFmtId="0" fontId="9" fillId="4" borderId="4" xfId="4" applyFill="1" applyBorder="1"/>
    <xf numFmtId="0" fontId="6" fillId="2" borderId="1" xfId="4" applyFont="1" applyFill="1" applyBorder="1"/>
    <xf numFmtId="166" fontId="0" fillId="0" borderId="1" xfId="7" applyFont="1" applyBorder="1"/>
    <xf numFmtId="165" fontId="9" fillId="2" borderId="1" xfId="3" applyFont="1" applyFill="1" applyBorder="1"/>
    <xf numFmtId="0" fontId="17" fillId="0" borderId="0" xfId="4" applyFont="1"/>
    <xf numFmtId="0" fontId="5" fillId="0" borderId="0" xfId="4" applyFont="1"/>
    <xf numFmtId="0" fontId="12" fillId="0" borderId="1" xfId="4" applyFont="1" applyBorder="1"/>
    <xf numFmtId="0" fontId="12" fillId="0" borderId="6" xfId="4" applyFont="1" applyBorder="1"/>
    <xf numFmtId="0" fontId="12" fillId="0" borderId="7" xfId="4" applyFont="1" applyBorder="1"/>
    <xf numFmtId="0" fontId="12" fillId="0" borderId="5" xfId="4" applyFont="1" applyBorder="1"/>
    <xf numFmtId="0" fontId="12" fillId="0" borderId="8" xfId="4" applyFont="1" applyBorder="1"/>
    <xf numFmtId="0" fontId="12" fillId="0" borderId="9" xfId="4" applyFont="1" applyBorder="1"/>
    <xf numFmtId="0" fontId="12" fillId="0" borderId="10" xfId="4" applyFont="1" applyBorder="1"/>
    <xf numFmtId="9" fontId="12" fillId="0" borderId="0" xfId="2" applyFont="1" applyBorder="1"/>
    <xf numFmtId="0" fontId="16" fillId="5" borderId="0" xfId="4" applyFont="1" applyFill="1"/>
    <xf numFmtId="0" fontId="4" fillId="0" borderId="0" xfId="4" applyFont="1"/>
    <xf numFmtId="0" fontId="18" fillId="0" borderId="8" xfId="4" applyFont="1" applyBorder="1"/>
    <xf numFmtId="0" fontId="19" fillId="7" borderId="1" xfId="4" applyFont="1" applyFill="1" applyBorder="1"/>
    <xf numFmtId="0" fontId="3" fillId="0" borderId="0" xfId="4" applyFont="1"/>
    <xf numFmtId="0" fontId="12" fillId="5" borderId="0" xfId="4" applyFont="1" applyFill="1"/>
    <xf numFmtId="172" fontId="12" fillId="5" borderId="0" xfId="4" applyNumberFormat="1" applyFont="1" applyFill="1"/>
    <xf numFmtId="0" fontId="3" fillId="10" borderId="0" xfId="4" applyFont="1" applyFill="1"/>
    <xf numFmtId="0" fontId="3" fillId="0" borderId="1" xfId="4" applyFont="1" applyBorder="1"/>
    <xf numFmtId="0" fontId="9" fillId="9" borderId="1" xfId="4" applyFill="1" applyBorder="1"/>
    <xf numFmtId="0" fontId="9" fillId="10" borderId="1" xfId="4" applyFill="1" applyBorder="1"/>
    <xf numFmtId="0" fontId="9" fillId="11" borderId="1" xfId="4" applyFill="1" applyBorder="1"/>
    <xf numFmtId="169" fontId="9" fillId="0" borderId="1" xfId="4" applyNumberFormat="1" applyBorder="1"/>
    <xf numFmtId="1" fontId="9" fillId="0" borderId="1" xfId="4" applyNumberFormat="1" applyBorder="1"/>
    <xf numFmtId="2" fontId="9" fillId="11" borderId="1" xfId="4" applyNumberFormat="1" applyFill="1" applyBorder="1"/>
    <xf numFmtId="167" fontId="9" fillId="0" borderId="1" xfId="4" applyNumberFormat="1" applyBorder="1"/>
    <xf numFmtId="173" fontId="9" fillId="0" borderId="1" xfId="4" applyNumberFormat="1" applyBorder="1"/>
    <xf numFmtId="169" fontId="9" fillId="10" borderId="1" xfId="4" applyNumberFormat="1" applyFill="1" applyBorder="1"/>
    <xf numFmtId="1" fontId="9" fillId="10" borderId="1" xfId="4" applyNumberFormat="1" applyFill="1" applyBorder="1"/>
    <xf numFmtId="170" fontId="9" fillId="0" borderId="1" xfId="4" applyNumberFormat="1" applyBorder="1"/>
    <xf numFmtId="2" fontId="9" fillId="0" borderId="1" xfId="2" applyNumberFormat="1" applyFont="1" applyBorder="1"/>
    <xf numFmtId="0" fontId="0" fillId="5" borderId="0" xfId="0" applyFill="1"/>
    <xf numFmtId="0" fontId="19" fillId="5" borderId="1" xfId="4" applyFont="1" applyFill="1" applyBorder="1"/>
    <xf numFmtId="0" fontId="3" fillId="5" borderId="1" xfId="4" applyFont="1" applyFill="1" applyBorder="1"/>
    <xf numFmtId="0" fontId="6" fillId="8" borderId="1" xfId="4" applyFont="1" applyFill="1" applyBorder="1"/>
    <xf numFmtId="171" fontId="0" fillId="0" borderId="1" xfId="0" applyNumberFormat="1" applyBorder="1"/>
    <xf numFmtId="171" fontId="0" fillId="0" borderId="1" xfId="1" applyNumberFormat="1" applyFont="1" applyBorder="1"/>
    <xf numFmtId="0" fontId="2" fillId="0" borderId="0" xfId="4" applyFont="1"/>
    <xf numFmtId="43" fontId="9" fillId="0" borderId="0" xfId="4" applyNumberFormat="1"/>
    <xf numFmtId="0" fontId="9" fillId="0" borderId="0" xfId="2" applyNumberFormat="1" applyFont="1" applyFill="1"/>
    <xf numFmtId="0" fontId="9" fillId="0" borderId="0" xfId="4" applyAlignment="1">
      <alignment horizontal="right"/>
    </xf>
    <xf numFmtId="175" fontId="9" fillId="0" borderId="0" xfId="2" applyNumberFormat="1" applyFont="1" applyFill="1"/>
    <xf numFmtId="175" fontId="9" fillId="0" borderId="0" xfId="4" applyNumberFormat="1"/>
    <xf numFmtId="176" fontId="9" fillId="0" borderId="0" xfId="4" applyNumberFormat="1"/>
    <xf numFmtId="178" fontId="9" fillId="0" borderId="0" xfId="4" applyNumberFormat="1"/>
    <xf numFmtId="174" fontId="9" fillId="0" borderId="1" xfId="4" applyNumberFormat="1" applyBorder="1"/>
    <xf numFmtId="0" fontId="2" fillId="0" borderId="1" xfId="4" applyFont="1" applyBorder="1" applyAlignment="1">
      <alignment horizontal="right"/>
    </xf>
    <xf numFmtId="168" fontId="2" fillId="0" borderId="1" xfId="2" applyNumberFormat="1" applyFont="1" applyFill="1" applyBorder="1" applyAlignment="1">
      <alignment horizontal="right"/>
    </xf>
    <xf numFmtId="164" fontId="2" fillId="0" borderId="1" xfId="4" applyNumberFormat="1" applyFont="1" applyBorder="1" applyAlignment="1">
      <alignment horizontal="right"/>
    </xf>
    <xf numFmtId="0" fontId="9" fillId="0" borderId="1" xfId="4" applyBorder="1" applyAlignment="1">
      <alignment horizontal="right"/>
    </xf>
    <xf numFmtId="168" fontId="9" fillId="0" borderId="1" xfId="2" applyNumberFormat="1" applyFont="1" applyBorder="1" applyAlignment="1">
      <alignment horizontal="right"/>
    </xf>
    <xf numFmtId="0" fontId="9" fillId="0" borderId="1" xfId="1" applyNumberFormat="1" applyFont="1" applyFill="1" applyBorder="1" applyAlignment="1">
      <alignment horizontal="right"/>
    </xf>
    <xf numFmtId="164" fontId="9" fillId="0" borderId="1" xfId="4" applyNumberFormat="1" applyBorder="1"/>
    <xf numFmtId="176" fontId="9" fillId="0" borderId="1" xfId="4" applyNumberFormat="1" applyBorder="1"/>
    <xf numFmtId="43" fontId="9" fillId="0" borderId="1" xfId="4" applyNumberFormat="1" applyBorder="1"/>
    <xf numFmtId="175" fontId="9" fillId="0" borderId="1" xfId="4" applyNumberFormat="1" applyBorder="1"/>
    <xf numFmtId="178" fontId="9" fillId="0" borderId="1" xfId="4" applyNumberFormat="1" applyBorder="1"/>
    <xf numFmtId="167" fontId="9" fillId="0" borderId="1" xfId="4" applyNumberFormat="1" applyBorder="1" applyAlignment="1">
      <alignment horizontal="right"/>
    </xf>
    <xf numFmtId="0" fontId="9" fillId="0" borderId="1" xfId="2" applyNumberFormat="1" applyFont="1" applyFill="1" applyBorder="1" applyAlignment="1">
      <alignment horizontal="right"/>
    </xf>
    <xf numFmtId="168" fontId="9" fillId="0" borderId="0" xfId="4" applyNumberFormat="1"/>
    <xf numFmtId="171" fontId="12" fillId="0" borderId="1" xfId="4" applyNumberFormat="1" applyFont="1" applyBorder="1"/>
    <xf numFmtId="169" fontId="12" fillId="0" borderId="1" xfId="4" applyNumberFormat="1" applyFont="1" applyBorder="1"/>
    <xf numFmtId="0" fontId="2" fillId="5" borderId="0" xfId="4" applyFont="1" applyFill="1"/>
    <xf numFmtId="177" fontId="0" fillId="0" borderId="1" xfId="1" applyNumberFormat="1" applyFont="1" applyBorder="1"/>
    <xf numFmtId="178" fontId="9" fillId="0" borderId="1" xfId="4" applyNumberFormat="1" applyBorder="1" applyAlignment="1">
      <alignment horizontal="right"/>
    </xf>
    <xf numFmtId="178" fontId="0" fillId="0" borderId="1" xfId="0" applyNumberFormat="1" applyBorder="1"/>
    <xf numFmtId="178" fontId="12" fillId="0" borderId="1" xfId="4" applyNumberFormat="1" applyFont="1" applyBorder="1"/>
    <xf numFmtId="0" fontId="6" fillId="0" borderId="1" xfId="4" applyFont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" xfId="4" applyFont="1" applyBorder="1" applyAlignment="1">
      <alignment wrapText="1"/>
    </xf>
    <xf numFmtId="0" fontId="4" fillId="0" borderId="1" xfId="4" applyFont="1" applyBorder="1" applyAlignment="1">
      <alignment wrapText="1"/>
    </xf>
    <xf numFmtId="0" fontId="12" fillId="2" borderId="0" xfId="4" applyFont="1" applyFill="1" applyAlignment="1">
      <alignment wrapText="1"/>
    </xf>
    <xf numFmtId="0" fontId="12" fillId="0" borderId="0" xfId="0" applyFont="1" applyAlignment="1">
      <alignment wrapText="1"/>
    </xf>
    <xf numFmtId="0" fontId="6" fillId="6" borderId="1" xfId="4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12" fillId="0" borderId="1" xfId="4" applyFont="1" applyBorder="1" applyAlignment="1">
      <alignment horizontal="right"/>
    </xf>
    <xf numFmtId="0" fontId="2" fillId="12" borderId="1" xfId="4" applyFont="1" applyFill="1" applyBorder="1" applyAlignment="1">
      <alignment horizontal="right"/>
    </xf>
    <xf numFmtId="169" fontId="9" fillId="12" borderId="1" xfId="4" applyNumberFormat="1" applyFill="1" applyBorder="1"/>
    <xf numFmtId="43" fontId="9" fillId="12" borderId="1" xfId="4" applyNumberFormat="1" applyFill="1" applyBorder="1"/>
    <xf numFmtId="0" fontId="9" fillId="12" borderId="1" xfId="4" applyFill="1" applyBorder="1"/>
    <xf numFmtId="174" fontId="9" fillId="12" borderId="1" xfId="4" applyNumberFormat="1" applyFill="1" applyBorder="1"/>
    <xf numFmtId="169" fontId="9" fillId="12" borderId="0" xfId="4" applyNumberFormat="1" applyFill="1"/>
    <xf numFmtId="43" fontId="9" fillId="12" borderId="0" xfId="4" applyNumberFormat="1" applyFill="1"/>
    <xf numFmtId="174" fontId="9" fillId="12" borderId="0" xfId="4" applyNumberFormat="1" applyFill="1"/>
    <xf numFmtId="0" fontId="2" fillId="2" borderId="1" xfId="4" applyFont="1" applyFill="1" applyBorder="1" applyAlignment="1">
      <alignment horizontal="right"/>
    </xf>
    <xf numFmtId="43" fontId="9" fillId="2" borderId="1" xfId="4" applyNumberFormat="1" applyFill="1" applyBorder="1"/>
    <xf numFmtId="43" fontId="2" fillId="2" borderId="1" xfId="4" applyNumberFormat="1" applyFont="1" applyFill="1" applyBorder="1" applyAlignment="1">
      <alignment horizontal="right"/>
    </xf>
    <xf numFmtId="167" fontId="2" fillId="2" borderId="0" xfId="4" applyNumberFormat="1" applyFont="1" applyFill="1"/>
    <xf numFmtId="43" fontId="9" fillId="2" borderId="0" xfId="4" applyNumberFormat="1" applyFill="1"/>
    <xf numFmtId="0" fontId="9" fillId="2" borderId="0" xfId="4" applyFill="1"/>
    <xf numFmtId="0" fontId="1" fillId="0" borderId="0" xfId="4" applyFont="1"/>
    <xf numFmtId="0" fontId="20" fillId="0" borderId="0" xfId="0" applyFont="1"/>
    <xf numFmtId="171" fontId="9" fillId="0" borderId="0" xfId="4" applyNumberFormat="1"/>
  </cellXfs>
  <cellStyles count="15">
    <cellStyle name="Comma" xfId="1" builtinId="3"/>
    <cellStyle name="Comma 2" xfId="7" xr:uid="{B44229D5-88EF-4D80-86DD-6628764A0E4E}"/>
    <cellStyle name="Comma 3" xfId="9" xr:uid="{DBD9CD90-9F16-4BD2-8176-B39E94540183}"/>
    <cellStyle name="Comma 4" xfId="14" xr:uid="{CC01BE71-67E3-40CE-A089-6BF0CE3CD6E9}"/>
    <cellStyle name="Currency" xfId="3" builtinId="4"/>
    <cellStyle name="Currency 2" xfId="6" xr:uid="{95F67884-AEC3-45A5-AB7C-93DD5DD25F0C}"/>
    <cellStyle name="Currency 3" xfId="10" xr:uid="{44AEB9D9-939C-4A3B-B35E-80D540ACCCE5}"/>
    <cellStyle name="Currency 4" xfId="13" xr:uid="{E1FC3A5E-C735-4596-9627-6A0C6C33C9D9}"/>
    <cellStyle name="Normal" xfId="0" builtinId="0"/>
    <cellStyle name="Normal 2" xfId="4" xr:uid="{D3AA72AA-033E-4D5B-BB4A-0BAB2D754466}"/>
    <cellStyle name="Normal 3" xfId="8" xr:uid="{3BA7CE58-C04E-4226-8E0F-939169E1A4DB}"/>
    <cellStyle name="Normal 4" xfId="11" xr:uid="{98D1D09E-D406-41E4-8185-4AE55AC51DF0}"/>
    <cellStyle name="Percent" xfId="2" builtinId="5"/>
    <cellStyle name="Percent 2" xfId="5" xr:uid="{36F4C071-4175-4970-AA6A-14C226A9FF78}"/>
    <cellStyle name="Percent 3" xfId="12" xr:uid="{FD651913-7378-4723-A36F-FF4E9EC54E9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5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5.png"/><Relationship Id="rId1" Type="http://schemas.openxmlformats.org/officeDocument/2006/relationships/customXml" Target="../ink/ink1.xml"/><Relationship Id="rId6" Type="http://schemas.openxmlformats.org/officeDocument/2006/relationships/image" Target="../media/image7.png"/><Relationship Id="rId11" Type="http://schemas.openxmlformats.org/officeDocument/2006/relationships/customXml" Target="../ink/ink8.xml"/><Relationship Id="rId5" Type="http://schemas.openxmlformats.org/officeDocument/2006/relationships/customXml" Target="../ink/ink3.xml"/><Relationship Id="rId10" Type="http://schemas.openxmlformats.org/officeDocument/2006/relationships/customXml" Target="../ink/ink7.xml"/><Relationship Id="rId4" Type="http://schemas.openxmlformats.org/officeDocument/2006/relationships/image" Target="../media/image6.png"/><Relationship Id="rId9" Type="http://schemas.openxmlformats.org/officeDocument/2006/relationships/customXml" Target="../ink/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28</xdr:row>
      <xdr:rowOff>0</xdr:rowOff>
    </xdr:from>
    <xdr:to>
      <xdr:col>21</xdr:col>
      <xdr:colOff>360</xdr:colOff>
      <xdr:row>28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49670C3-B787-47BF-8F7A-3D881A44D1F0}"/>
                </a:ext>
              </a:extLst>
            </xdr14:cNvPr>
            <xdr14:cNvContentPartPr/>
          </xdr14:nvContentPartPr>
          <xdr14:nvPr macro=""/>
          <xdr14:xfrm>
            <a:off x="11019240" y="6061140"/>
            <a:ext cx="360" cy="3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0EEAD66-C53A-67B7-BD3A-FD3E0369E75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013120" y="60550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430330</xdr:colOff>
      <xdr:row>28</xdr:row>
      <xdr:rowOff>0</xdr:rowOff>
    </xdr:from>
    <xdr:to>
      <xdr:col>19</xdr:col>
      <xdr:colOff>447250</xdr:colOff>
      <xdr:row>28</xdr:row>
      <xdr:rowOff>25920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279787E-0F8E-4777-9743-24B2F0D633CC}"/>
                </a:ext>
              </a:extLst>
            </xdr14:cNvPr>
            <xdr14:cNvContentPartPr/>
          </xdr14:nvContentPartPr>
          <xdr14:nvPr macro=""/>
          <xdr14:xfrm>
            <a:off x="8437680" y="7140780"/>
            <a:ext cx="16920" cy="259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CF125965-FB2D-EB6B-FA29-DAFB92E1640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431560" y="7134660"/>
              <a:ext cx="29160" cy="3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170410</xdr:colOff>
      <xdr:row>28</xdr:row>
      <xdr:rowOff>0</xdr:rowOff>
    </xdr:from>
    <xdr:to>
      <xdr:col>19</xdr:col>
      <xdr:colOff>186970</xdr:colOff>
      <xdr:row>28</xdr:row>
      <xdr:rowOff>35280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7CC165B-74EF-418E-A504-2EB621777DF0}"/>
                </a:ext>
              </a:extLst>
            </xdr14:cNvPr>
            <xdr14:cNvContentPartPr/>
          </xdr14:nvContentPartPr>
          <xdr14:nvPr macro=""/>
          <xdr14:xfrm>
            <a:off x="8177760" y="7993260"/>
            <a:ext cx="16560" cy="352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F230C274-2C3D-8EBF-8897-482EA43035F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171640" y="7987140"/>
              <a:ext cx="28800" cy="475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19</xdr:col>
      <xdr:colOff>170410</xdr:colOff>
      <xdr:row>28</xdr:row>
      <xdr:rowOff>0</xdr:rowOff>
    </xdr:from>
    <xdr:ext cx="16560" cy="35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89E194F-7167-4878-9A73-9F326CE2A47E}"/>
                </a:ext>
              </a:extLst>
            </xdr14:cNvPr>
            <xdr14:cNvContentPartPr/>
          </xdr14:nvContentPartPr>
          <xdr14:nvPr macro=""/>
          <xdr14:xfrm>
            <a:off x="8177760" y="7993260"/>
            <a:ext cx="16560" cy="352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F230C274-2C3D-8EBF-8897-482EA43035F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171640" y="7987140"/>
              <a:ext cx="28800" cy="47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21</xdr:col>
      <xdr:colOff>0</xdr:colOff>
      <xdr:row>161</xdr:row>
      <xdr:rowOff>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4E9F8BA-B0F0-43FF-A424-686CC5C82F2A}"/>
                </a:ext>
              </a:extLst>
            </xdr14:cNvPr>
            <xdr14:cNvContentPartPr/>
          </xdr14:nvContentPartPr>
          <xdr14:nvPr macro=""/>
          <xdr14:xfrm>
            <a:off x="11019240" y="6061140"/>
            <a:ext cx="360" cy="3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0EEAD66-C53A-67B7-BD3A-FD3E0369E75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013120" y="60550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</xdr:col>
      <xdr:colOff>430330</xdr:colOff>
      <xdr:row>161</xdr:row>
      <xdr:rowOff>0</xdr:rowOff>
    </xdr:from>
    <xdr:ext cx="16920" cy="25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940BF2E-D7DF-424E-86F3-3DD41F751B91}"/>
                </a:ext>
              </a:extLst>
            </xdr14:cNvPr>
            <xdr14:cNvContentPartPr/>
          </xdr14:nvContentPartPr>
          <xdr14:nvPr macro=""/>
          <xdr14:xfrm>
            <a:off x="8437680" y="7140780"/>
            <a:ext cx="16920" cy="2592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CF125965-FB2D-EB6B-FA29-DAFB92E1640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431560" y="7134660"/>
              <a:ext cx="29160" cy="381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</xdr:col>
      <xdr:colOff>170410</xdr:colOff>
      <xdr:row>161</xdr:row>
      <xdr:rowOff>0</xdr:rowOff>
    </xdr:from>
    <xdr:ext cx="16560" cy="35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AF473C0-698B-4C23-A185-7F406FB07A08}"/>
                </a:ext>
              </a:extLst>
            </xdr14:cNvPr>
            <xdr14:cNvContentPartPr/>
          </xdr14:nvContentPartPr>
          <xdr14:nvPr macro=""/>
          <xdr14:xfrm>
            <a:off x="8177760" y="7993260"/>
            <a:ext cx="16560" cy="352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F230C274-2C3D-8EBF-8897-482EA43035F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171640" y="7987140"/>
              <a:ext cx="28800" cy="47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19</xdr:col>
      <xdr:colOff>170410</xdr:colOff>
      <xdr:row>161</xdr:row>
      <xdr:rowOff>0</xdr:rowOff>
    </xdr:from>
    <xdr:ext cx="16560" cy="35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6AA708C7-68C2-4127-AC96-00C0EBCB7001}"/>
                </a:ext>
              </a:extLst>
            </xdr14:cNvPr>
            <xdr14:cNvContentPartPr/>
          </xdr14:nvContentPartPr>
          <xdr14:nvPr macro=""/>
          <xdr14:xfrm>
            <a:off x="8177760" y="7993260"/>
            <a:ext cx="16560" cy="3528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F230C274-2C3D-8EBF-8897-482EA43035F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171640" y="7987140"/>
              <a:ext cx="28800" cy="4752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30T18:31:51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8072,'0'0'-225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30T18:31:51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72 14382,'0'0'6053,"-38"-18"-5540,35 17-321,1-1-160,0 1-288,2 0-513,-1-2-576,1-5-1057,0-7-2115,0-7-6693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30T18:31:51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92 13677,'0'0'9641,"0"5"-9769,1-12-545,8-5-480,1-9-897,4-4-1345,-3-7-1890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30T19:01:02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92 13677,'0'0'9641,"0"5"-9769,1-12-545,8-5-480,1-9-897,4-4-1345,-3-7-1890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30T19:22:24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8072,'0'0'-225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30T19:22:24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72 14382,'0'0'6053,"-38"-18"-5540,35 17-321,1-1-160,0 1-288,2 0-513,-1-2-576,1-5-1057,0-7-2115,0-7-6693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30T19:22:24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92 13677,'0'0'9641,"0"5"-9769,1-12-545,8-5-480,1-9-897,4-4-1345,-3-7-1890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9-30T19:22:24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92 13677,'0'0'9641,"0"5"-9769,1-12-545,8-5-480,1-9-897,4-4-1345,-3-7-1890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AB0D-2456-4942-BF34-533C252DFC0F}">
  <dimension ref="A1:AF191"/>
  <sheetViews>
    <sheetView tabSelected="1" topLeftCell="A79" zoomScale="87" zoomScaleNormal="100" workbookViewId="0">
      <selection activeCell="D182" sqref="D182"/>
    </sheetView>
  </sheetViews>
  <sheetFormatPr defaultColWidth="9" defaultRowHeight="14.4" x14ac:dyDescent="0.3"/>
  <cols>
    <col min="1" max="1" width="12.5" style="2" customWidth="1"/>
    <col min="2" max="2" width="20.69921875" style="2" customWidth="1"/>
    <col min="3" max="3" width="23.8984375" style="2" bestFit="1" customWidth="1"/>
    <col min="4" max="4" width="19.69921875" style="2" bestFit="1" customWidth="1"/>
    <col min="5" max="5" width="36.69921875" style="2" customWidth="1"/>
    <col min="6" max="6" width="55.296875" style="2" customWidth="1"/>
    <col min="7" max="7" width="15.09765625" style="2" customWidth="1"/>
    <col min="8" max="8" width="16.5" style="2" bestFit="1" customWidth="1"/>
    <col min="9" max="9" width="21.19921875" style="2" customWidth="1"/>
    <col min="10" max="10" width="16" style="2" customWidth="1"/>
    <col min="11" max="11" width="16.3984375" style="2" customWidth="1"/>
    <col min="12" max="12" width="15.19921875" style="2" bestFit="1" customWidth="1"/>
    <col min="13" max="13" width="18.19921875" style="2" customWidth="1"/>
    <col min="14" max="14" width="15.19921875" style="2" bestFit="1" customWidth="1"/>
    <col min="15" max="15" width="17.69921875" style="2" customWidth="1"/>
    <col min="16" max="16" width="16" style="2" customWidth="1"/>
    <col min="17" max="19" width="15.19921875" style="2" bestFit="1" customWidth="1"/>
    <col min="20" max="20" width="15.8984375" style="2" customWidth="1"/>
    <col min="21" max="21" width="17.5" style="2" customWidth="1"/>
    <col min="22" max="22" width="16.5" style="2" customWidth="1"/>
    <col min="23" max="23" width="14.69921875" style="2" bestFit="1" customWidth="1"/>
    <col min="24" max="24" width="15.19921875" style="2" bestFit="1" customWidth="1"/>
    <col min="25" max="25" width="25.59765625" style="2" customWidth="1"/>
    <col min="26" max="26" width="11" style="2" bestFit="1" customWidth="1"/>
    <col min="27" max="27" width="12.796875" style="2" customWidth="1"/>
    <col min="28" max="28" width="12.19921875" style="2" bestFit="1" customWidth="1"/>
    <col min="29" max="29" width="14.59765625" style="2" customWidth="1"/>
    <col min="30" max="30" width="12.19921875" style="2" bestFit="1" customWidth="1"/>
    <col min="31" max="31" width="13.3984375" style="2" customWidth="1"/>
    <col min="32" max="32" width="17.69921875" style="2" customWidth="1"/>
    <col min="33" max="16384" width="9" style="2"/>
  </cols>
  <sheetData>
    <row r="1" spans="1:16" ht="28.8" x14ac:dyDescent="0.55000000000000004">
      <c r="A1" s="1" t="s">
        <v>6</v>
      </c>
    </row>
    <row r="3" spans="1:16" x14ac:dyDescent="0.3">
      <c r="A3" s="52" t="s">
        <v>100</v>
      </c>
      <c r="B3" s="2">
        <f>A30+A158+A176</f>
        <v>100</v>
      </c>
    </row>
    <row r="4" spans="1:16" x14ac:dyDescent="0.3">
      <c r="B4" s="112" t="s">
        <v>48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</row>
    <row r="5" spans="1:16" x14ac:dyDescent="0.3"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</row>
    <row r="6" spans="1:16" x14ac:dyDescent="0.3"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</row>
    <row r="7" spans="1:16" ht="30" customHeight="1" x14ac:dyDescent="0.3"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</row>
    <row r="9" spans="1:16" ht="15.6" x14ac:dyDescent="0.3">
      <c r="B9" s="17" t="s">
        <v>62</v>
      </c>
      <c r="C9" s="17"/>
      <c r="D9" s="17"/>
      <c r="E9"/>
      <c r="F9"/>
      <c r="G9" s="21"/>
      <c r="H9" s="22"/>
      <c r="J9" s="11"/>
      <c r="K9" s="11"/>
      <c r="L9" s="11"/>
      <c r="M9" s="11"/>
      <c r="N9" s="11"/>
    </row>
    <row r="10" spans="1:16" ht="15" thickBot="1" x14ac:dyDescent="0.35"/>
    <row r="11" spans="1:16" ht="15" thickBot="1" x14ac:dyDescent="0.35">
      <c r="B11" s="35" t="s">
        <v>34</v>
      </c>
      <c r="C11" s="36"/>
      <c r="D11" s="36"/>
      <c r="E11" s="36"/>
      <c r="F11" s="36"/>
      <c r="G11" s="37"/>
    </row>
    <row r="12" spans="1:16" x14ac:dyDescent="0.3">
      <c r="O12" s="8"/>
      <c r="P12" s="9"/>
    </row>
    <row r="13" spans="1:16" x14ac:dyDescent="0.3">
      <c r="B13" s="2" t="s">
        <v>8</v>
      </c>
    </row>
    <row r="14" spans="1:16" x14ac:dyDescent="0.3">
      <c r="B14" s="14" t="s">
        <v>9</v>
      </c>
      <c r="C14" s="23">
        <v>60</v>
      </c>
      <c r="D14" s="2" t="s">
        <v>10</v>
      </c>
      <c r="E14" s="14" t="s">
        <v>12</v>
      </c>
      <c r="F14" s="23">
        <v>0</v>
      </c>
      <c r="G14" s="7" t="s">
        <v>52</v>
      </c>
    </row>
    <row r="15" spans="1:16" x14ac:dyDescent="0.3">
      <c r="B15" s="14" t="s">
        <v>22</v>
      </c>
      <c r="C15" s="23">
        <v>3</v>
      </c>
      <c r="D15" s="2" t="s">
        <v>11</v>
      </c>
      <c r="E15" s="27" t="s">
        <v>46</v>
      </c>
      <c r="F15" s="25">
        <v>89250000</v>
      </c>
      <c r="G15" s="15" t="s">
        <v>55</v>
      </c>
    </row>
    <row r="16" spans="1:16" x14ac:dyDescent="0.3">
      <c r="B16" s="14" t="s">
        <v>23</v>
      </c>
      <c r="C16" s="24">
        <v>0.2</v>
      </c>
      <c r="E16" s="27" t="s">
        <v>47</v>
      </c>
      <c r="F16" s="28">
        <v>14000000</v>
      </c>
      <c r="G16" s="15" t="s">
        <v>56</v>
      </c>
    </row>
    <row r="17" spans="1:24" x14ac:dyDescent="0.3">
      <c r="B17" s="14" t="s">
        <v>24</v>
      </c>
      <c r="C17" s="24">
        <v>0.51</v>
      </c>
      <c r="E17" s="30" t="s">
        <v>77</v>
      </c>
      <c r="F17" s="29">
        <f>F15/F16</f>
        <v>6.375</v>
      </c>
      <c r="G17" s="2" t="s">
        <v>14</v>
      </c>
    </row>
    <row r="19" spans="1:24" x14ac:dyDescent="0.3">
      <c r="B19" s="2" t="s">
        <v>15</v>
      </c>
    </row>
    <row r="20" spans="1:24" x14ac:dyDescent="0.3">
      <c r="B20" s="14" t="s">
        <v>2</v>
      </c>
      <c r="C20" s="25">
        <v>2500000</v>
      </c>
      <c r="D20" s="2" t="s">
        <v>16</v>
      </c>
      <c r="E20" s="14" t="s">
        <v>25</v>
      </c>
      <c r="F20" s="31">
        <v>0.36</v>
      </c>
    </row>
    <row r="21" spans="1:24" x14ac:dyDescent="0.3">
      <c r="B21" s="14" t="s">
        <v>17</v>
      </c>
      <c r="C21" s="23">
        <v>2.75</v>
      </c>
      <c r="D21" s="2" t="s">
        <v>18</v>
      </c>
      <c r="E21" s="14" t="s">
        <v>4</v>
      </c>
      <c r="F21" s="32">
        <v>4.5999999999999999E-2</v>
      </c>
    </row>
    <row r="22" spans="1:24" x14ac:dyDescent="0.3">
      <c r="B22" s="14" t="s">
        <v>21</v>
      </c>
      <c r="C22" s="23">
        <v>3</v>
      </c>
      <c r="D22" s="2" t="s">
        <v>19</v>
      </c>
    </row>
    <row r="23" spans="1:24" x14ac:dyDescent="0.3">
      <c r="B23" s="14" t="s">
        <v>20</v>
      </c>
      <c r="C23" s="26">
        <v>0.45</v>
      </c>
      <c r="D23" s="2" t="s">
        <v>11</v>
      </c>
      <c r="E23" s="14" t="s">
        <v>26</v>
      </c>
      <c r="F23" s="28">
        <v>1482000</v>
      </c>
      <c r="G23" s="2" t="s">
        <v>27</v>
      </c>
    </row>
    <row r="24" spans="1:24" x14ac:dyDescent="0.3">
      <c r="E24" s="14" t="s">
        <v>28</v>
      </c>
      <c r="F24" s="33">
        <v>0.8</v>
      </c>
      <c r="G24" s="7"/>
    </row>
    <row r="25" spans="1:24" x14ac:dyDescent="0.3">
      <c r="B25" s="7"/>
      <c r="D25" s="9"/>
      <c r="E25" s="16" t="s">
        <v>73</v>
      </c>
      <c r="F25" s="24">
        <v>0.01</v>
      </c>
      <c r="G25" s="2" t="s">
        <v>32</v>
      </c>
    </row>
    <row r="26" spans="1:24" ht="18" x14ac:dyDescent="0.35">
      <c r="B26" s="56" t="s">
        <v>125</v>
      </c>
      <c r="C26" s="57">
        <f>C17*(1-C16)</f>
        <v>0.40800000000000003</v>
      </c>
      <c r="D26" s="4"/>
      <c r="E26" s="14" t="s">
        <v>29</v>
      </c>
      <c r="F26" s="23">
        <v>500</v>
      </c>
      <c r="G26" s="2" t="s">
        <v>30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4" ht="18" x14ac:dyDescent="0.35">
      <c r="B27" s="4"/>
      <c r="C27" s="4"/>
      <c r="D27" s="4"/>
      <c r="E27" s="14" t="s">
        <v>31</v>
      </c>
      <c r="F27" s="34">
        <v>0.11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5"/>
    </row>
    <row r="28" spans="1:24" ht="18" x14ac:dyDescent="0.35">
      <c r="B28" s="4"/>
      <c r="C28" s="4"/>
      <c r="D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</row>
    <row r="29" spans="1:24" x14ac:dyDescent="0.3">
      <c r="A29" s="52" t="s">
        <v>94</v>
      </c>
      <c r="E29" s="14" t="s">
        <v>33</v>
      </c>
      <c r="F29" s="31">
        <v>0.15</v>
      </c>
    </row>
    <row r="30" spans="1:24" x14ac:dyDescent="0.3">
      <c r="A30" s="2">
        <f>SUM(A31:A51)</f>
        <v>40</v>
      </c>
    </row>
    <row r="31" spans="1:24" ht="15.6" x14ac:dyDescent="0.3">
      <c r="A31" s="2">
        <v>6</v>
      </c>
      <c r="B31" s="110" t="s">
        <v>7</v>
      </c>
      <c r="C31" s="109"/>
      <c r="D31" s="109"/>
      <c r="E31" s="109"/>
      <c r="F31" s="109"/>
      <c r="G31" s="109"/>
      <c r="H31" s="109"/>
      <c r="I31" s="109"/>
    </row>
    <row r="32" spans="1:24" ht="15.6" x14ac:dyDescent="0.3">
      <c r="A32" s="2">
        <v>8</v>
      </c>
      <c r="B32" s="108" t="s">
        <v>53</v>
      </c>
      <c r="C32" s="109"/>
      <c r="D32" s="109"/>
      <c r="E32" s="109"/>
      <c r="F32" s="109"/>
      <c r="G32" s="109"/>
      <c r="H32" s="109"/>
      <c r="I32" s="109"/>
    </row>
    <row r="33" spans="1:10" ht="15.6" x14ac:dyDescent="0.3">
      <c r="A33" s="2">
        <v>10</v>
      </c>
      <c r="B33" s="108" t="s">
        <v>57</v>
      </c>
      <c r="C33" s="109"/>
      <c r="D33" s="109"/>
      <c r="E33" s="109"/>
      <c r="F33" s="109"/>
      <c r="G33" s="109"/>
      <c r="H33" s="109"/>
      <c r="I33" s="109"/>
    </row>
    <row r="34" spans="1:10" ht="15.6" x14ac:dyDescent="0.3">
      <c r="A34" s="2">
        <v>1</v>
      </c>
      <c r="B34" s="110" t="s">
        <v>78</v>
      </c>
      <c r="C34" s="109"/>
      <c r="D34" s="109"/>
      <c r="E34" s="109"/>
      <c r="F34" s="109"/>
      <c r="G34" s="109"/>
      <c r="H34" s="109"/>
      <c r="I34" s="109"/>
    </row>
    <row r="35" spans="1:10" ht="15.6" x14ac:dyDescent="0.3">
      <c r="B35" s="114" t="s">
        <v>58</v>
      </c>
      <c r="C35" s="115"/>
      <c r="D35" s="115"/>
      <c r="E35" s="115"/>
      <c r="F35" s="115"/>
      <c r="G35" s="115"/>
      <c r="H35" s="115"/>
      <c r="I35" s="115"/>
      <c r="J35" s="52" t="s">
        <v>99</v>
      </c>
    </row>
    <row r="36" spans="1:10" ht="15.6" x14ac:dyDescent="0.3">
      <c r="B36" s="114" t="s">
        <v>54</v>
      </c>
      <c r="C36" s="115"/>
      <c r="D36" s="115"/>
      <c r="E36" s="115"/>
      <c r="F36" s="115"/>
      <c r="G36" s="115"/>
      <c r="H36" s="115"/>
      <c r="I36" s="115"/>
    </row>
    <row r="37" spans="1:10" ht="15.6" x14ac:dyDescent="0.3">
      <c r="B37" s="114" t="s">
        <v>59</v>
      </c>
      <c r="C37" s="115"/>
      <c r="D37" s="115"/>
      <c r="E37" s="115"/>
      <c r="F37" s="115"/>
      <c r="G37" s="115"/>
      <c r="H37" s="115"/>
      <c r="I37" s="115"/>
    </row>
    <row r="39" spans="1:10" x14ac:dyDescent="0.3">
      <c r="B39" s="42" t="s">
        <v>79</v>
      </c>
    </row>
    <row r="40" spans="1:10" ht="15.6" x14ac:dyDescent="0.3">
      <c r="A40" s="2">
        <v>5</v>
      </c>
      <c r="B40" s="75" t="s">
        <v>60</v>
      </c>
      <c r="C40" s="73" t="s">
        <v>127</v>
      </c>
      <c r="D40" s="52" t="s">
        <v>95</v>
      </c>
      <c r="F40" s="72" t="s">
        <v>128</v>
      </c>
    </row>
    <row r="41" spans="1:10" ht="15.6" x14ac:dyDescent="0.3">
      <c r="B41" s="75" t="s">
        <v>61</v>
      </c>
      <c r="C41" s="74" t="s">
        <v>127</v>
      </c>
      <c r="D41" s="103" t="s">
        <v>159</v>
      </c>
      <c r="F41" s="72" t="s">
        <v>129</v>
      </c>
    </row>
    <row r="43" spans="1:10" ht="15.6" x14ac:dyDescent="0.3">
      <c r="B43" s="18" t="s">
        <v>63</v>
      </c>
      <c r="C43"/>
      <c r="E43"/>
    </row>
    <row r="44" spans="1:10" ht="15.6" x14ac:dyDescent="0.3">
      <c r="A44" s="2">
        <v>5</v>
      </c>
      <c r="B44" s="19"/>
      <c r="C44" s="19" t="s">
        <v>80</v>
      </c>
      <c r="D44" s="19" t="s">
        <v>64</v>
      </c>
      <c r="E44" s="19" t="s">
        <v>65</v>
      </c>
    </row>
    <row r="45" spans="1:10" ht="15.6" x14ac:dyDescent="0.3">
      <c r="B45" s="19" t="s">
        <v>66</v>
      </c>
      <c r="C45" s="76">
        <f>13 + S73/(S73 - S74)</f>
        <v>13.922256840797891</v>
      </c>
      <c r="D45" s="77">
        <f>(SUM(B61:B73)+(C46-13)*B74)/10</f>
        <v>10.391159577117048</v>
      </c>
      <c r="E45" s="54"/>
    </row>
    <row r="46" spans="1:10" ht="15.6" x14ac:dyDescent="0.3">
      <c r="B46" s="19" t="s">
        <v>67</v>
      </c>
      <c r="C46" s="76">
        <f>13 + S73/(S73 - S74)</f>
        <v>13.922256840797891</v>
      </c>
      <c r="D46" s="77">
        <f>(SUM(B61:B73) + (C46-ROWS(B61:B73))*B74)/10</f>
        <v>10.391159577117048</v>
      </c>
      <c r="E46" s="20">
        <f>SUM(V60:V73)+((C46-13)*V74)</f>
        <v>59094949.558555342</v>
      </c>
      <c r="F46" s="131" t="s">
        <v>164</v>
      </c>
    </row>
    <row r="47" spans="1:10" ht="15.6" x14ac:dyDescent="0.3">
      <c r="B47"/>
      <c r="C47"/>
      <c r="D47"/>
      <c r="E47"/>
      <c r="F47" s="131" t="s">
        <v>165</v>
      </c>
      <c r="G47" s="131" t="s">
        <v>64</v>
      </c>
      <c r="H47" s="131" t="s">
        <v>166</v>
      </c>
      <c r="I47" s="131" t="s">
        <v>167</v>
      </c>
    </row>
    <row r="48" spans="1:10" ht="15.6" x14ac:dyDescent="0.3">
      <c r="B48" s="18" t="s">
        <v>68</v>
      </c>
      <c r="C48"/>
      <c r="D48"/>
      <c r="E48"/>
      <c r="F48" s="11">
        <f>F16</f>
        <v>14000000</v>
      </c>
      <c r="G48" s="133">
        <f>D46</f>
        <v>10.391159577117048</v>
      </c>
      <c r="H48" s="79">
        <f>F48-10400000</f>
        <v>3600000</v>
      </c>
      <c r="I48" s="79">
        <f>F15/10400000</f>
        <v>8.5817307692307701</v>
      </c>
    </row>
    <row r="49" spans="1:23" ht="15.6" x14ac:dyDescent="0.3">
      <c r="A49" s="2">
        <v>5</v>
      </c>
      <c r="B49" s="19"/>
      <c r="C49" s="19" t="s">
        <v>80</v>
      </c>
      <c r="D49" s="19" t="s">
        <v>64</v>
      </c>
      <c r="E49" s="19" t="s">
        <v>65</v>
      </c>
      <c r="G49" s="131" t="s">
        <v>168</v>
      </c>
    </row>
    <row r="50" spans="1:23" ht="15.6" x14ac:dyDescent="0.3">
      <c r="B50" s="19" t="s">
        <v>66</v>
      </c>
      <c r="C50" s="76">
        <f>C45</f>
        <v>13.922256840797891</v>
      </c>
      <c r="D50" s="104">
        <f>D45</f>
        <v>10.391159577117048</v>
      </c>
      <c r="E50" s="54"/>
    </row>
    <row r="51" spans="1:23" ht="15.6" x14ac:dyDescent="0.3">
      <c r="B51" s="19" t="s">
        <v>67</v>
      </c>
      <c r="C51" s="76">
        <f>C46</f>
        <v>13.922256840797891</v>
      </c>
      <c r="D51" s="104">
        <f>D46</f>
        <v>10.391159577117048</v>
      </c>
      <c r="E51" s="20">
        <f>SUM(V60:V73)+((C46-13)*V74)</f>
        <v>59094949.558555342</v>
      </c>
    </row>
    <row r="53" spans="1:23" x14ac:dyDescent="0.3">
      <c r="B53" s="42" t="s">
        <v>81</v>
      </c>
    </row>
    <row r="55" spans="1:23" x14ac:dyDescent="0.3">
      <c r="B55" s="51" t="s">
        <v>93</v>
      </c>
      <c r="C55" s="51"/>
    </row>
    <row r="56" spans="1:23" x14ac:dyDescent="0.3">
      <c r="B56" s="17" t="s">
        <v>62</v>
      </c>
      <c r="C56" s="17"/>
      <c r="D56" s="17"/>
    </row>
    <row r="58" spans="1:23" x14ac:dyDescent="0.3">
      <c r="B58" s="55" t="s">
        <v>105</v>
      </c>
      <c r="C58" s="55"/>
      <c r="D58" s="55"/>
      <c r="E58" s="55"/>
      <c r="F58" s="55"/>
      <c r="G58" s="55"/>
      <c r="H58" s="55"/>
      <c r="I58" s="55"/>
      <c r="J58" s="55"/>
      <c r="Q58" s="58" t="s">
        <v>126</v>
      </c>
    </row>
    <row r="59" spans="1:23" x14ac:dyDescent="0.3">
      <c r="B59" s="14" t="s">
        <v>103</v>
      </c>
      <c r="C59" s="14" t="s">
        <v>106</v>
      </c>
      <c r="D59" s="14" t="s">
        <v>104</v>
      </c>
      <c r="E59" s="14" t="s">
        <v>107</v>
      </c>
      <c r="F59" s="14" t="s">
        <v>108</v>
      </c>
      <c r="G59" s="14" t="s">
        <v>109</v>
      </c>
      <c r="H59" s="14" t="s">
        <v>110</v>
      </c>
      <c r="I59" s="14" t="s">
        <v>111</v>
      </c>
      <c r="J59" s="14" t="s">
        <v>112</v>
      </c>
      <c r="K59" s="59" t="s">
        <v>113</v>
      </c>
      <c r="L59" s="14" t="s">
        <v>114</v>
      </c>
      <c r="M59" s="14" t="s">
        <v>4</v>
      </c>
      <c r="N59" s="14" t="s">
        <v>115</v>
      </c>
      <c r="O59" s="14" t="s">
        <v>116</v>
      </c>
      <c r="P59" s="60" t="s">
        <v>117</v>
      </c>
      <c r="Q59" s="61" t="s">
        <v>118</v>
      </c>
      <c r="R59" s="61" t="s">
        <v>119</v>
      </c>
      <c r="S59" s="61" t="s">
        <v>120</v>
      </c>
      <c r="T59" s="62" t="s">
        <v>121</v>
      </c>
      <c r="U59" s="62" t="s">
        <v>122</v>
      </c>
      <c r="V59" s="59" t="s">
        <v>123</v>
      </c>
      <c r="W59" s="14" t="s">
        <v>124</v>
      </c>
    </row>
    <row r="60" spans="1:23" x14ac:dyDescent="0.3"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f>G60+H60</f>
        <v>0</v>
      </c>
      <c r="J60" s="63">
        <f>$C$20*$C$17</f>
        <v>1275000</v>
      </c>
      <c r="K60" s="14">
        <f>0</f>
        <v>0</v>
      </c>
      <c r="L60" s="63">
        <f>J60+K60</f>
        <v>1275000</v>
      </c>
      <c r="M60" s="64">
        <f>I60*$F$21</f>
        <v>0</v>
      </c>
      <c r="N60" s="64">
        <f>C60*$F$17*$C$17</f>
        <v>0</v>
      </c>
      <c r="O60" s="63">
        <f>I60-L60-M60-N60</f>
        <v>-1275000</v>
      </c>
      <c r="P60" s="60">
        <f>IF(O60&gt;0,$O60*$F$20,0)</f>
        <v>0</v>
      </c>
      <c r="Q60" s="61">
        <v>0</v>
      </c>
      <c r="R60" s="61">
        <v>0</v>
      </c>
      <c r="S60" s="61">
        <v>0</v>
      </c>
      <c r="T60" s="62">
        <v>0</v>
      </c>
      <c r="U60" s="65">
        <f>1/(1+$F$29)^T60</f>
        <v>1</v>
      </c>
      <c r="V60" s="64">
        <f>S60*U60</f>
        <v>0</v>
      </c>
      <c r="W60" s="64">
        <f>V60</f>
        <v>0</v>
      </c>
    </row>
    <row r="61" spans="1:23" x14ac:dyDescent="0.3">
      <c r="B61" s="14">
        <v>1</v>
      </c>
      <c r="C61" s="66">
        <f>F23</f>
        <v>1482000</v>
      </c>
      <c r="D61" s="14">
        <v>0.8</v>
      </c>
      <c r="E61" s="66">
        <f>C61*D61/(1-D61)</f>
        <v>5928000.0000000009</v>
      </c>
      <c r="F61" s="66">
        <f>C61*0.5</f>
        <v>741000</v>
      </c>
      <c r="G61" s="66">
        <f>C61*$C$14*$C$26</f>
        <v>36279360</v>
      </c>
      <c r="H61" s="14">
        <f>F61*$C$26*$C$15</f>
        <v>906984</v>
      </c>
      <c r="I61" s="14">
        <f t="shared" ref="I61:I81" si="0">G61+H61</f>
        <v>37186344</v>
      </c>
      <c r="J61" s="63">
        <f t="shared" ref="J61:J81" si="1">$C$20*$C$17</f>
        <v>1275000</v>
      </c>
      <c r="K61" s="67">
        <f>((E61*$C$21)+(C61*$C$22)+(F61*$C$23))*$C$17</f>
        <v>10751539.5</v>
      </c>
      <c r="L61" s="63">
        <f t="shared" ref="L61:L81" si="2">J61+K61</f>
        <v>12026539.5</v>
      </c>
      <c r="M61" s="64">
        <f t="shared" ref="M61:M81" si="3">I61*$F$21</f>
        <v>1710571.824</v>
      </c>
      <c r="N61" s="64">
        <f t="shared" ref="N61:N81" si="4">C61*$F$17*$C$17</f>
        <v>4818352.5</v>
      </c>
      <c r="O61" s="63">
        <f t="shared" ref="O61:O81" si="5">I61-L61-M61-N61</f>
        <v>18630880.175999999</v>
      </c>
      <c r="P61" s="60">
        <f>IF(O61&gt;0,$O61*$F$20,0)</f>
        <v>6707116.8633599998</v>
      </c>
      <c r="Q61" s="68">
        <f>O61-P61</f>
        <v>11923763.31264</v>
      </c>
      <c r="R61" s="69">
        <f>N61</f>
        <v>4818352.5</v>
      </c>
      <c r="S61" s="68">
        <f>Q61+R61</f>
        <v>16742115.81264</v>
      </c>
      <c r="T61" s="62">
        <f>B61-0.5</f>
        <v>0.5</v>
      </c>
      <c r="U61" s="65">
        <f t="shared" ref="U61:U81" si="6">1/(1+$F$29)^T61</f>
        <v>0.93250480824031379</v>
      </c>
      <c r="V61" s="64">
        <f t="shared" ref="V61:V81" si="7">S61*U61</f>
        <v>15612103.495402988</v>
      </c>
      <c r="W61" s="64">
        <f>W60+V61</f>
        <v>15612103.495402988</v>
      </c>
    </row>
    <row r="62" spans="1:23" x14ac:dyDescent="0.3">
      <c r="B62" s="14">
        <v>2</v>
      </c>
      <c r="C62" s="70">
        <f>C61*(1-$F$27)</f>
        <v>1318980</v>
      </c>
      <c r="D62" s="71">
        <f>MIN(D61+$F$25,0.99)</f>
        <v>0.81</v>
      </c>
      <c r="E62" s="66">
        <f t="shared" ref="E62:E80" si="8">C62*D62/(1-D62)</f>
        <v>5623020.0000000019</v>
      </c>
      <c r="F62" s="66">
        <f t="shared" ref="F62:F81" si="9">C62*0.5</f>
        <v>659490</v>
      </c>
      <c r="G62" s="66">
        <f t="shared" ref="G62:G81" si="10">C62*$C$14*$C$26</f>
        <v>32288630.400000002</v>
      </c>
      <c r="H62" s="64">
        <f t="shared" ref="H62:H81" si="11">F62*$C$26*$C$15</f>
        <v>807215.76000000013</v>
      </c>
      <c r="I62" s="14">
        <f t="shared" si="0"/>
        <v>33095846.160000004</v>
      </c>
      <c r="J62" s="63">
        <f t="shared" si="1"/>
        <v>1275000</v>
      </c>
      <c r="K62" s="67">
        <f t="shared" ref="K62:K81" si="12">((E62*$C$21)+(C62*$C$22)+(F62*$C$23))*$C$17</f>
        <v>10055677.905000003</v>
      </c>
      <c r="L62" s="63">
        <f t="shared" si="2"/>
        <v>11330677.905000003</v>
      </c>
      <c r="M62" s="64">
        <f t="shared" si="3"/>
        <v>1522408.9233600001</v>
      </c>
      <c r="N62" s="64">
        <f t="shared" si="4"/>
        <v>4288333.7249999996</v>
      </c>
      <c r="O62" s="63">
        <f t="shared" si="5"/>
        <v>15954425.606640002</v>
      </c>
      <c r="P62" s="60">
        <f t="shared" ref="P62:P81" si="13">IF(O62&gt;0,$O62*$F$20,0)</f>
        <v>5743593.2183904005</v>
      </c>
      <c r="Q62" s="68">
        <f t="shared" ref="Q62:Q81" si="14">O62-P62</f>
        <v>10210832.388249602</v>
      </c>
      <c r="R62" s="69">
        <f t="shared" ref="R62:R81" si="15">N62</f>
        <v>4288333.7249999996</v>
      </c>
      <c r="S62" s="68">
        <f t="shared" ref="S62:S81" si="16">Q62+R62</f>
        <v>14499166.113249602</v>
      </c>
      <c r="T62" s="62">
        <f t="shared" ref="T62:T81" si="17">B62-0.5</f>
        <v>1.5</v>
      </c>
      <c r="U62" s="65">
        <f t="shared" si="6"/>
        <v>0.81087374629592512</v>
      </c>
      <c r="V62" s="64">
        <f t="shared" si="7"/>
        <v>11756993.144417632</v>
      </c>
      <c r="W62" s="64">
        <f t="shared" ref="W62:W81" si="18">W61+V62</f>
        <v>27369096.63982062</v>
      </c>
    </row>
    <row r="63" spans="1:23" x14ac:dyDescent="0.3">
      <c r="B63" s="14">
        <v>3</v>
      </c>
      <c r="C63" s="70">
        <f t="shared" ref="C63:C81" si="19">C62*(1-$F$27)</f>
        <v>1173892.2</v>
      </c>
      <c r="D63" s="71">
        <f t="shared" ref="D63:D81" si="20">MIN(D62+$F$25,0.99)</f>
        <v>0.82000000000000006</v>
      </c>
      <c r="E63" s="66">
        <f t="shared" si="8"/>
        <v>5347731.1333333356</v>
      </c>
      <c r="F63" s="66">
        <f t="shared" si="9"/>
        <v>586946.1</v>
      </c>
      <c r="G63" s="66">
        <f t="shared" si="10"/>
        <v>28736881.056000002</v>
      </c>
      <c r="H63" s="64">
        <f t="shared" si="11"/>
        <v>718422.02640000009</v>
      </c>
      <c r="I63" s="14">
        <f t="shared" si="0"/>
        <v>29455303.082400002</v>
      </c>
      <c r="J63" s="63">
        <f t="shared" si="1"/>
        <v>1275000</v>
      </c>
      <c r="K63" s="67">
        <f t="shared" si="12"/>
        <v>9430952.1104500033</v>
      </c>
      <c r="L63" s="63">
        <f t="shared" si="2"/>
        <v>10705952.110450003</v>
      </c>
      <c r="M63" s="64">
        <f t="shared" si="3"/>
        <v>1354943.9417904001</v>
      </c>
      <c r="N63" s="64">
        <f t="shared" si="4"/>
        <v>3816617.0152499997</v>
      </c>
      <c r="O63" s="63">
        <f t="shared" si="5"/>
        <v>13577790.014909601</v>
      </c>
      <c r="P63" s="60">
        <f t="shared" si="13"/>
        <v>4888004.4053674564</v>
      </c>
      <c r="Q63" s="68">
        <f t="shared" si="14"/>
        <v>8689785.6095421445</v>
      </c>
      <c r="R63" s="69">
        <f t="shared" si="15"/>
        <v>3816617.0152499997</v>
      </c>
      <c r="S63" s="68">
        <f t="shared" si="16"/>
        <v>12506402.624792144</v>
      </c>
      <c r="T63" s="62">
        <f t="shared" si="17"/>
        <v>2.5</v>
      </c>
      <c r="U63" s="65">
        <f t="shared" si="6"/>
        <v>0.70510760547471751</v>
      </c>
      <c r="V63" s="64">
        <f t="shared" si="7"/>
        <v>8818359.6078699101</v>
      </c>
      <c r="W63" s="64">
        <f t="shared" si="18"/>
        <v>36187456.247690529</v>
      </c>
    </row>
    <row r="64" spans="1:23" x14ac:dyDescent="0.3">
      <c r="B64" s="14">
        <v>4</v>
      </c>
      <c r="C64" s="70">
        <f t="shared" si="19"/>
        <v>1044764.058</v>
      </c>
      <c r="D64" s="71">
        <f t="shared" si="20"/>
        <v>0.83000000000000007</v>
      </c>
      <c r="E64" s="66">
        <f t="shared" si="8"/>
        <v>5100906.8714117669</v>
      </c>
      <c r="F64" s="66">
        <f t="shared" si="9"/>
        <v>522382.02899999998</v>
      </c>
      <c r="G64" s="66">
        <f t="shared" si="10"/>
        <v>25575824.139839999</v>
      </c>
      <c r="H64" s="64">
        <f t="shared" si="11"/>
        <v>639395.60349600005</v>
      </c>
      <c r="I64" s="14">
        <f t="shared" si="0"/>
        <v>26215219.743336</v>
      </c>
      <c r="J64" s="63">
        <f t="shared" si="1"/>
        <v>1275000</v>
      </c>
      <c r="K64" s="67">
        <f t="shared" si="12"/>
        <v>8872397.5715505015</v>
      </c>
      <c r="L64" s="63">
        <f t="shared" si="2"/>
        <v>10147397.571550502</v>
      </c>
      <c r="M64" s="64">
        <f t="shared" si="3"/>
        <v>1205900.108193456</v>
      </c>
      <c r="N64" s="64">
        <f t="shared" si="4"/>
        <v>3396789.1435725</v>
      </c>
      <c r="O64" s="63">
        <f t="shared" si="5"/>
        <v>11465132.920019543</v>
      </c>
      <c r="P64" s="60">
        <f t="shared" si="13"/>
        <v>4127447.8512070351</v>
      </c>
      <c r="Q64" s="68">
        <f t="shared" si="14"/>
        <v>7337685.0688125081</v>
      </c>
      <c r="R64" s="69">
        <f t="shared" si="15"/>
        <v>3396789.1435725</v>
      </c>
      <c r="S64" s="68">
        <f t="shared" si="16"/>
        <v>10734474.212385008</v>
      </c>
      <c r="T64" s="62">
        <f t="shared" si="17"/>
        <v>3.5</v>
      </c>
      <c r="U64" s="65">
        <f t="shared" si="6"/>
        <v>0.61313704823888482</v>
      </c>
      <c r="V64" s="64">
        <f t="shared" si="7"/>
        <v>6581703.8329781722</v>
      </c>
      <c r="W64" s="64">
        <f t="shared" si="18"/>
        <v>42769160.080668703</v>
      </c>
    </row>
    <row r="65" spans="2:23" x14ac:dyDescent="0.3">
      <c r="B65" s="14">
        <v>5</v>
      </c>
      <c r="C65" s="70">
        <f t="shared" si="19"/>
        <v>929840.01162</v>
      </c>
      <c r="D65" s="71">
        <f t="shared" si="20"/>
        <v>0.84000000000000008</v>
      </c>
      <c r="E65" s="66">
        <f t="shared" si="8"/>
        <v>4881660.0610050028</v>
      </c>
      <c r="F65" s="66">
        <f t="shared" si="9"/>
        <v>464920.00581</v>
      </c>
      <c r="G65" s="66">
        <f t="shared" si="10"/>
        <v>22762483.484457601</v>
      </c>
      <c r="H65" s="64">
        <f t="shared" si="11"/>
        <v>569062.08711144002</v>
      </c>
      <c r="I65" s="14">
        <f t="shared" si="0"/>
        <v>23331545.57156904</v>
      </c>
      <c r="J65" s="63">
        <f t="shared" si="1"/>
        <v>1275000</v>
      </c>
      <c r="K65" s="67">
        <f t="shared" si="12"/>
        <v>8375882.594671512</v>
      </c>
      <c r="L65" s="63">
        <f t="shared" si="2"/>
        <v>9650882.594671512</v>
      </c>
      <c r="M65" s="64">
        <f t="shared" si="3"/>
        <v>1073251.0962921758</v>
      </c>
      <c r="N65" s="64">
        <f t="shared" si="4"/>
        <v>3023142.3377795252</v>
      </c>
      <c r="O65" s="63">
        <f t="shared" si="5"/>
        <v>9584269.5428258274</v>
      </c>
      <c r="P65" s="60">
        <f t="shared" si="13"/>
        <v>3450337.0354172979</v>
      </c>
      <c r="Q65" s="68">
        <f t="shared" si="14"/>
        <v>6133932.5074085295</v>
      </c>
      <c r="R65" s="69">
        <f t="shared" si="15"/>
        <v>3023142.3377795252</v>
      </c>
      <c r="S65" s="68">
        <f t="shared" si="16"/>
        <v>9157074.8451880552</v>
      </c>
      <c r="T65" s="62">
        <f t="shared" si="17"/>
        <v>4.5</v>
      </c>
      <c r="U65" s="65">
        <f t="shared" si="6"/>
        <v>0.53316265064250867</v>
      </c>
      <c r="V65" s="64">
        <f t="shared" si="7"/>
        <v>4882210.2965923036</v>
      </c>
      <c r="W65" s="64">
        <f t="shared" si="18"/>
        <v>47651370.377261005</v>
      </c>
    </row>
    <row r="66" spans="2:23" x14ac:dyDescent="0.3">
      <c r="B66" s="14">
        <v>6</v>
      </c>
      <c r="C66" s="70">
        <f t="shared" si="19"/>
        <v>827557.61034180003</v>
      </c>
      <c r="D66" s="71">
        <f t="shared" si="20"/>
        <v>0.85000000000000009</v>
      </c>
      <c r="E66" s="66">
        <f t="shared" si="8"/>
        <v>4689493.1252702037</v>
      </c>
      <c r="F66" s="66">
        <f t="shared" si="9"/>
        <v>413778.80517090001</v>
      </c>
      <c r="G66" s="66">
        <f t="shared" si="10"/>
        <v>20258610.301167265</v>
      </c>
      <c r="H66" s="64">
        <f t="shared" si="11"/>
        <v>506465.25752918166</v>
      </c>
      <c r="I66" s="14">
        <f t="shared" si="0"/>
        <v>20765075.558696445</v>
      </c>
      <c r="J66" s="63">
        <f t="shared" si="1"/>
        <v>1275000</v>
      </c>
      <c r="K66" s="67">
        <f t="shared" si="12"/>
        <v>7938139.4878011364</v>
      </c>
      <c r="L66" s="63">
        <f t="shared" si="2"/>
        <v>9213139.4878011364</v>
      </c>
      <c r="M66" s="64">
        <f t="shared" si="3"/>
        <v>955193.47570003651</v>
      </c>
      <c r="N66" s="64">
        <f t="shared" si="4"/>
        <v>2690596.6806237777</v>
      </c>
      <c r="O66" s="63">
        <f t="shared" si="5"/>
        <v>7906145.9145714957</v>
      </c>
      <c r="P66" s="60">
        <f t="shared" si="13"/>
        <v>2846212.5292457384</v>
      </c>
      <c r="Q66" s="68">
        <f t="shared" si="14"/>
        <v>5059933.3853257578</v>
      </c>
      <c r="R66" s="69">
        <f t="shared" si="15"/>
        <v>2690596.6806237777</v>
      </c>
      <c r="S66" s="68">
        <f t="shared" si="16"/>
        <v>7750530.065949535</v>
      </c>
      <c r="T66" s="62">
        <f t="shared" si="17"/>
        <v>5.5</v>
      </c>
      <c r="U66" s="65">
        <f t="shared" si="6"/>
        <v>0.46361969621087712</v>
      </c>
      <c r="V66" s="64">
        <f t="shared" si="7"/>
        <v>3593298.3946487927</v>
      </c>
      <c r="W66" s="64">
        <f t="shared" si="18"/>
        <v>51244668.771909796</v>
      </c>
    </row>
    <row r="67" spans="2:23" x14ac:dyDescent="0.3">
      <c r="B67" s="14">
        <v>7</v>
      </c>
      <c r="C67" s="70">
        <f t="shared" si="19"/>
        <v>736526.27320420207</v>
      </c>
      <c r="D67" s="71">
        <f t="shared" si="20"/>
        <v>0.8600000000000001</v>
      </c>
      <c r="E67" s="66">
        <f t="shared" si="8"/>
        <v>4524375.6782543873</v>
      </c>
      <c r="F67" s="66">
        <f t="shared" si="9"/>
        <v>368263.13660210103</v>
      </c>
      <c r="G67" s="66">
        <f t="shared" si="10"/>
        <v>18030163.168038867</v>
      </c>
      <c r="H67" s="64">
        <f t="shared" si="11"/>
        <v>450754.07920097176</v>
      </c>
      <c r="I67" s="14">
        <f t="shared" si="0"/>
        <v>18480917.247239839</v>
      </c>
      <c r="J67" s="63">
        <f t="shared" si="1"/>
        <v>1275000</v>
      </c>
      <c r="K67" s="67">
        <f t="shared" si="12"/>
        <v>7556838.4766043909</v>
      </c>
      <c r="L67" s="63">
        <f t="shared" si="2"/>
        <v>8831838.4766043909</v>
      </c>
      <c r="M67" s="64">
        <f t="shared" si="3"/>
        <v>850122.19337303261</v>
      </c>
      <c r="N67" s="64">
        <f t="shared" si="4"/>
        <v>2394631.0457551619</v>
      </c>
      <c r="O67" s="63">
        <f t="shared" si="5"/>
        <v>6404325.5315072546</v>
      </c>
      <c r="P67" s="60">
        <f t="shared" si="13"/>
        <v>2305557.1913426113</v>
      </c>
      <c r="Q67" s="68">
        <f t="shared" si="14"/>
        <v>4098768.3401646432</v>
      </c>
      <c r="R67" s="69">
        <f t="shared" si="15"/>
        <v>2394631.0457551619</v>
      </c>
      <c r="S67" s="68">
        <f t="shared" si="16"/>
        <v>6493399.3859198056</v>
      </c>
      <c r="T67" s="62">
        <f t="shared" si="17"/>
        <v>6.5</v>
      </c>
      <c r="U67" s="65">
        <f t="shared" si="6"/>
        <v>0.40314756192250184</v>
      </c>
      <c r="V67" s="64">
        <f t="shared" si="7"/>
        <v>2617798.13102264</v>
      </c>
      <c r="W67" s="64">
        <f t="shared" si="18"/>
        <v>53862466.902932435</v>
      </c>
    </row>
    <row r="68" spans="2:23" x14ac:dyDescent="0.3">
      <c r="B68" s="14">
        <v>8</v>
      </c>
      <c r="C68" s="70">
        <f t="shared" si="19"/>
        <v>655508.38315173984</v>
      </c>
      <c r="D68" s="71">
        <f t="shared" si="20"/>
        <v>0.87000000000000011</v>
      </c>
      <c r="E68" s="66">
        <f t="shared" si="8"/>
        <v>4386863.7949385708</v>
      </c>
      <c r="F68" s="66">
        <f t="shared" si="9"/>
        <v>327754.19157586992</v>
      </c>
      <c r="G68" s="66">
        <f t="shared" si="10"/>
        <v>16046845.219554592</v>
      </c>
      <c r="H68" s="64">
        <f t="shared" si="11"/>
        <v>401171.13048886479</v>
      </c>
      <c r="I68" s="14">
        <f t="shared" si="0"/>
        <v>16448016.350043457</v>
      </c>
      <c r="J68" s="63">
        <f t="shared" si="1"/>
        <v>1275000</v>
      </c>
      <c r="K68" s="67">
        <f t="shared" si="12"/>
        <v>7230723.8855901705</v>
      </c>
      <c r="L68" s="63">
        <f t="shared" si="2"/>
        <v>8505723.8855901696</v>
      </c>
      <c r="M68" s="64">
        <f t="shared" si="3"/>
        <v>756608.75210199901</v>
      </c>
      <c r="N68" s="64">
        <f t="shared" si="4"/>
        <v>2131221.6307220943</v>
      </c>
      <c r="O68" s="63">
        <f t="shared" si="5"/>
        <v>5054462.0816291943</v>
      </c>
      <c r="P68" s="60">
        <f t="shared" si="13"/>
        <v>1819606.34938651</v>
      </c>
      <c r="Q68" s="68">
        <f t="shared" si="14"/>
        <v>3234855.7322426843</v>
      </c>
      <c r="R68" s="69">
        <f t="shared" si="15"/>
        <v>2131221.6307220943</v>
      </c>
      <c r="S68" s="68">
        <f t="shared" si="16"/>
        <v>5366077.3629647791</v>
      </c>
      <c r="T68" s="62">
        <f t="shared" si="17"/>
        <v>7.5</v>
      </c>
      <c r="U68" s="65">
        <f t="shared" si="6"/>
        <v>0.35056309732391466</v>
      </c>
      <c r="V68" s="64">
        <f t="shared" si="7"/>
        <v>1881148.7008406771</v>
      </c>
      <c r="W68" s="64">
        <f t="shared" si="18"/>
        <v>55743615.60377311</v>
      </c>
    </row>
    <row r="69" spans="2:23" x14ac:dyDescent="0.3">
      <c r="B69" s="14">
        <v>9</v>
      </c>
      <c r="C69" s="70">
        <f t="shared" si="19"/>
        <v>583402.46100504848</v>
      </c>
      <c r="D69" s="71">
        <f t="shared" si="20"/>
        <v>0.88000000000000012</v>
      </c>
      <c r="E69" s="66">
        <f t="shared" si="8"/>
        <v>4278284.7140370272</v>
      </c>
      <c r="F69" s="66">
        <f t="shared" si="9"/>
        <v>291701.23050252424</v>
      </c>
      <c r="G69" s="66">
        <f t="shared" si="10"/>
        <v>14281692.245403588</v>
      </c>
      <c r="H69" s="64">
        <f t="shared" si="11"/>
        <v>357042.30613508972</v>
      </c>
      <c r="I69" s="14">
        <f t="shared" si="0"/>
        <v>14638734.551538678</v>
      </c>
      <c r="J69" s="63">
        <f t="shared" si="1"/>
        <v>1275000</v>
      </c>
      <c r="K69" s="67">
        <f t="shared" si="12"/>
        <v>6959845.5091749839</v>
      </c>
      <c r="L69" s="63">
        <f t="shared" si="2"/>
        <v>8234845.5091749839</v>
      </c>
      <c r="M69" s="64">
        <f t="shared" si="3"/>
        <v>673381.78937077918</v>
      </c>
      <c r="N69" s="64">
        <f t="shared" si="4"/>
        <v>1896787.251342664</v>
      </c>
      <c r="O69" s="63">
        <f t="shared" si="5"/>
        <v>3833720.001650251</v>
      </c>
      <c r="P69" s="60">
        <f t="shared" si="13"/>
        <v>1380139.2005940904</v>
      </c>
      <c r="Q69" s="68">
        <f t="shared" si="14"/>
        <v>2453580.8010561606</v>
      </c>
      <c r="R69" s="69">
        <f t="shared" si="15"/>
        <v>1896787.251342664</v>
      </c>
      <c r="S69" s="68">
        <f t="shared" si="16"/>
        <v>4350368.0523988251</v>
      </c>
      <c r="T69" s="62">
        <f t="shared" si="17"/>
        <v>8.5</v>
      </c>
      <c r="U69" s="65">
        <f t="shared" si="6"/>
        <v>0.30483747593383886</v>
      </c>
      <c r="V69" s="64">
        <f t="shared" si="7"/>
        <v>1326155.2164764684</v>
      </c>
      <c r="W69" s="64">
        <f t="shared" si="18"/>
        <v>57069770.82024958</v>
      </c>
    </row>
    <row r="70" spans="2:23" x14ac:dyDescent="0.3">
      <c r="B70" s="14">
        <v>10</v>
      </c>
      <c r="C70" s="70">
        <f t="shared" si="19"/>
        <v>519228.19029449316</v>
      </c>
      <c r="D70" s="71">
        <f t="shared" si="20"/>
        <v>0.89000000000000012</v>
      </c>
      <c r="E70" s="66">
        <f t="shared" si="8"/>
        <v>4201028.0851099957</v>
      </c>
      <c r="F70" s="66">
        <f t="shared" si="9"/>
        <v>259614.09514724658</v>
      </c>
      <c r="G70" s="66">
        <f t="shared" si="10"/>
        <v>12710706.098409194</v>
      </c>
      <c r="H70" s="64">
        <f t="shared" si="11"/>
        <v>317767.65246022987</v>
      </c>
      <c r="I70" s="14">
        <f t="shared" si="0"/>
        <v>13028473.750869425</v>
      </c>
      <c r="J70" s="63">
        <f t="shared" si="1"/>
        <v>1275000</v>
      </c>
      <c r="K70" s="67">
        <f t="shared" si="12"/>
        <v>6745942.4553536372</v>
      </c>
      <c r="L70" s="63">
        <f t="shared" si="2"/>
        <v>8020942.4553536372</v>
      </c>
      <c r="M70" s="64">
        <f t="shared" si="3"/>
        <v>599309.79253999353</v>
      </c>
      <c r="N70" s="64">
        <f t="shared" si="4"/>
        <v>1688140.6536949708</v>
      </c>
      <c r="O70" s="63">
        <f t="shared" si="5"/>
        <v>2720080.849280824</v>
      </c>
      <c r="P70" s="60">
        <f t="shared" si="13"/>
        <v>979229.10574109654</v>
      </c>
      <c r="Q70" s="68">
        <f t="shared" si="14"/>
        <v>1740851.7435397273</v>
      </c>
      <c r="R70" s="69">
        <f t="shared" si="15"/>
        <v>1688140.6536949708</v>
      </c>
      <c r="S70" s="68">
        <f t="shared" si="16"/>
        <v>3428992.3972346978</v>
      </c>
      <c r="T70" s="62">
        <f t="shared" si="17"/>
        <v>9.5</v>
      </c>
      <c r="U70" s="65">
        <f t="shared" si="6"/>
        <v>0.26507606602942513</v>
      </c>
      <c r="V70" s="64">
        <f t="shared" si="7"/>
        <v>908943.81510378153</v>
      </c>
      <c r="W70" s="64">
        <f t="shared" si="18"/>
        <v>57978714.635353364</v>
      </c>
    </row>
    <row r="71" spans="2:23" x14ac:dyDescent="0.3">
      <c r="B71" s="14">
        <v>11</v>
      </c>
      <c r="C71" s="70">
        <f t="shared" si="19"/>
        <v>462113.08936209895</v>
      </c>
      <c r="D71" s="71">
        <f t="shared" si="20"/>
        <v>0.90000000000000013</v>
      </c>
      <c r="E71" s="66">
        <f t="shared" si="8"/>
        <v>4159017.804258897</v>
      </c>
      <c r="F71" s="66">
        <f t="shared" si="9"/>
        <v>231056.54468104948</v>
      </c>
      <c r="G71" s="66">
        <f t="shared" si="10"/>
        <v>11312528.427584182</v>
      </c>
      <c r="H71" s="64">
        <f t="shared" si="11"/>
        <v>282813.21068960457</v>
      </c>
      <c r="I71" s="14">
        <f t="shared" si="0"/>
        <v>11595341.638273787</v>
      </c>
      <c r="J71" s="63">
        <f t="shared" si="1"/>
        <v>1275000</v>
      </c>
      <c r="K71" s="67">
        <f t="shared" si="12"/>
        <v>6593082.9742014166</v>
      </c>
      <c r="L71" s="63">
        <f t="shared" si="2"/>
        <v>7868082.9742014166</v>
      </c>
      <c r="M71" s="64">
        <f t="shared" si="3"/>
        <v>533385.71536059421</v>
      </c>
      <c r="N71" s="64">
        <f t="shared" si="4"/>
        <v>1502445.1817885244</v>
      </c>
      <c r="O71" s="63">
        <f t="shared" si="5"/>
        <v>1691427.7669232518</v>
      </c>
      <c r="P71" s="60">
        <f t="shared" si="13"/>
        <v>608913.99609237059</v>
      </c>
      <c r="Q71" s="68">
        <f t="shared" si="14"/>
        <v>1082513.7708308813</v>
      </c>
      <c r="R71" s="69">
        <f t="shared" si="15"/>
        <v>1502445.1817885244</v>
      </c>
      <c r="S71" s="68">
        <f t="shared" si="16"/>
        <v>2584958.9526194055</v>
      </c>
      <c r="T71" s="62">
        <f t="shared" si="17"/>
        <v>10.5</v>
      </c>
      <c r="U71" s="65">
        <f t="shared" si="6"/>
        <v>0.23050092698210878</v>
      </c>
      <c r="V71" s="64">
        <f t="shared" si="7"/>
        <v>595835.43478947401</v>
      </c>
      <c r="W71" s="64">
        <f t="shared" si="18"/>
        <v>58574550.070142835</v>
      </c>
    </row>
    <row r="72" spans="2:23" x14ac:dyDescent="0.3">
      <c r="B72" s="14">
        <v>12</v>
      </c>
      <c r="C72" s="70">
        <f t="shared" si="19"/>
        <v>411280.64953226806</v>
      </c>
      <c r="D72" s="71">
        <f t="shared" si="20"/>
        <v>0.91000000000000014</v>
      </c>
      <c r="E72" s="66">
        <f t="shared" si="8"/>
        <v>4158504.345270718</v>
      </c>
      <c r="F72" s="66">
        <f t="shared" si="9"/>
        <v>205640.32476613403</v>
      </c>
      <c r="G72" s="66">
        <f t="shared" si="10"/>
        <v>10068150.300549923</v>
      </c>
      <c r="H72" s="64">
        <f t="shared" si="11"/>
        <v>251703.75751374807</v>
      </c>
      <c r="I72" s="14">
        <f t="shared" si="0"/>
        <v>10319854.058063671</v>
      </c>
      <c r="J72" s="63">
        <f t="shared" si="1"/>
        <v>1275000</v>
      </c>
      <c r="K72" s="67">
        <f t="shared" si="12"/>
        <v>6508756.1925603794</v>
      </c>
      <c r="L72" s="63">
        <f t="shared" si="2"/>
        <v>7783756.1925603794</v>
      </c>
      <c r="M72" s="64">
        <f t="shared" si="3"/>
        <v>474713.28667092888</v>
      </c>
      <c r="N72" s="64">
        <f t="shared" si="4"/>
        <v>1337176.2117917866</v>
      </c>
      <c r="O72" s="63">
        <f t="shared" si="5"/>
        <v>724208.36704057618</v>
      </c>
      <c r="P72" s="60">
        <f t="shared" si="13"/>
        <v>260715.01213460742</v>
      </c>
      <c r="Q72" s="68">
        <f t="shared" si="14"/>
        <v>463493.35490596876</v>
      </c>
      <c r="R72" s="69">
        <f t="shared" si="15"/>
        <v>1337176.2117917866</v>
      </c>
      <c r="S72" s="68">
        <f t="shared" si="16"/>
        <v>1800669.5666977554</v>
      </c>
      <c r="T72" s="62">
        <f t="shared" si="17"/>
        <v>11.5</v>
      </c>
      <c r="U72" s="65">
        <f t="shared" si="6"/>
        <v>0.20043558868009465</v>
      </c>
      <c r="V72" s="64">
        <f t="shared" si="7"/>
        <v>360918.26461939554</v>
      </c>
      <c r="W72" s="64">
        <f t="shared" si="18"/>
        <v>58935468.334762231</v>
      </c>
    </row>
    <row r="73" spans="2:23" x14ac:dyDescent="0.3">
      <c r="B73" s="14">
        <v>13</v>
      </c>
      <c r="C73" s="70">
        <f t="shared" si="19"/>
        <v>366039.77808371856</v>
      </c>
      <c r="D73" s="71">
        <f t="shared" si="20"/>
        <v>0.92000000000000015</v>
      </c>
      <c r="E73" s="66">
        <f t="shared" si="8"/>
        <v>4209457.4479627721</v>
      </c>
      <c r="F73" s="66">
        <f t="shared" si="9"/>
        <v>183019.88904185928</v>
      </c>
      <c r="G73" s="66">
        <f t="shared" si="10"/>
        <v>8960653.7674894314</v>
      </c>
      <c r="H73" s="64">
        <f t="shared" si="11"/>
        <v>224016.34418723575</v>
      </c>
      <c r="I73" s="14">
        <f t="shared" si="0"/>
        <v>9184670.1116766669</v>
      </c>
      <c r="J73" s="63">
        <f t="shared" si="1"/>
        <v>1275000</v>
      </c>
      <c r="K73" s="67">
        <f t="shared" si="12"/>
        <v>6505807.9957709843</v>
      </c>
      <c r="L73" s="63">
        <f t="shared" si="2"/>
        <v>7780807.9957709843</v>
      </c>
      <c r="M73" s="64">
        <f t="shared" si="3"/>
        <v>422494.82513712667</v>
      </c>
      <c r="N73" s="64">
        <f t="shared" si="4"/>
        <v>1190086.8284946901</v>
      </c>
      <c r="O73" s="63">
        <f t="shared" si="5"/>
        <v>-208719.53772613429</v>
      </c>
      <c r="P73" s="60">
        <f t="shared" si="13"/>
        <v>0</v>
      </c>
      <c r="Q73" s="68">
        <f t="shared" si="14"/>
        <v>-208719.53772613429</v>
      </c>
      <c r="R73" s="69">
        <f t="shared" si="15"/>
        <v>1190086.8284946901</v>
      </c>
      <c r="S73" s="68">
        <f t="shared" si="16"/>
        <v>981367.29076855583</v>
      </c>
      <c r="T73" s="62">
        <f t="shared" si="17"/>
        <v>12.5</v>
      </c>
      <c r="U73" s="65">
        <f t="shared" si="6"/>
        <v>0.17429181624356058</v>
      </c>
      <c r="V73" s="64">
        <f t="shared" si="7"/>
        <v>171044.28751007401</v>
      </c>
      <c r="W73" s="64">
        <f t="shared" si="18"/>
        <v>59106512.622272305</v>
      </c>
    </row>
    <row r="74" spans="2:23" x14ac:dyDescent="0.3">
      <c r="B74" s="14">
        <v>14</v>
      </c>
      <c r="C74" s="70">
        <f t="shared" si="19"/>
        <v>325775.40249450953</v>
      </c>
      <c r="D74" s="71">
        <f t="shared" si="20"/>
        <v>0.93000000000000016</v>
      </c>
      <c r="E74" s="66">
        <f t="shared" si="8"/>
        <v>4328158.9188556373</v>
      </c>
      <c r="F74" s="66">
        <f t="shared" si="9"/>
        <v>162887.70124725476</v>
      </c>
      <c r="G74" s="66">
        <f t="shared" si="10"/>
        <v>7974981.8530655932</v>
      </c>
      <c r="H74" s="64">
        <f t="shared" si="11"/>
        <v>199374.54632663983</v>
      </c>
      <c r="I74" s="14">
        <f t="shared" si="0"/>
        <v>8174356.3993922332</v>
      </c>
      <c r="J74" s="63">
        <f t="shared" si="1"/>
        <v>1275000</v>
      </c>
      <c r="K74" s="67">
        <f t="shared" si="12"/>
        <v>6606061.9769478757</v>
      </c>
      <c r="L74" s="63">
        <f t="shared" si="2"/>
        <v>7881061.9769478757</v>
      </c>
      <c r="M74" s="64">
        <f t="shared" si="3"/>
        <v>376020.39437204273</v>
      </c>
      <c r="N74" s="64">
        <f t="shared" si="4"/>
        <v>1059177.2773602742</v>
      </c>
      <c r="O74" s="63">
        <f t="shared" si="5"/>
        <v>-1141903.2492879594</v>
      </c>
      <c r="P74" s="60">
        <f t="shared" si="13"/>
        <v>0</v>
      </c>
      <c r="Q74" s="68">
        <f t="shared" si="14"/>
        <v>-1141903.2492879594</v>
      </c>
      <c r="R74" s="69">
        <f t="shared" si="15"/>
        <v>1059177.2773602742</v>
      </c>
      <c r="S74" s="68">
        <f t="shared" si="16"/>
        <v>-82725.971927685197</v>
      </c>
      <c r="T74" s="62">
        <f t="shared" si="17"/>
        <v>13.5</v>
      </c>
      <c r="U74" s="65">
        <f t="shared" si="6"/>
        <v>0.15155810108135703</v>
      </c>
      <c r="V74" s="64">
        <f t="shared" si="7"/>
        <v>-12537.791215469617</v>
      </c>
      <c r="W74" s="64">
        <f t="shared" si="18"/>
        <v>59093974.831056833</v>
      </c>
    </row>
    <row r="75" spans="2:23" x14ac:dyDescent="0.3">
      <c r="B75" s="14">
        <v>15</v>
      </c>
      <c r="C75" s="70">
        <f t="shared" si="19"/>
        <v>289940.1082201135</v>
      </c>
      <c r="D75" s="71">
        <f t="shared" si="20"/>
        <v>0.94000000000000017</v>
      </c>
      <c r="E75" s="66">
        <f t="shared" si="8"/>
        <v>4542395.0287817921</v>
      </c>
      <c r="F75" s="66">
        <f t="shared" si="9"/>
        <v>144970.05411005675</v>
      </c>
      <c r="G75" s="66">
        <f t="shared" si="10"/>
        <v>7097733.8492283793</v>
      </c>
      <c r="H75" s="64">
        <f t="shared" si="11"/>
        <v>177443.34623070949</v>
      </c>
      <c r="I75" s="14">
        <f t="shared" si="0"/>
        <v>7275177.1954590892</v>
      </c>
      <c r="J75" s="63">
        <f t="shared" si="1"/>
        <v>1275000</v>
      </c>
      <c r="K75" s="67">
        <f t="shared" si="12"/>
        <v>6847588.0208614953</v>
      </c>
      <c r="L75" s="63">
        <f t="shared" si="2"/>
        <v>8122588.0208614953</v>
      </c>
      <c r="M75" s="64">
        <f t="shared" si="3"/>
        <v>334658.15099111811</v>
      </c>
      <c r="N75" s="64">
        <f t="shared" si="4"/>
        <v>942667.77685064403</v>
      </c>
      <c r="O75" s="63">
        <f t="shared" si="5"/>
        <v>-2124736.7532441681</v>
      </c>
      <c r="P75" s="60">
        <f t="shared" si="13"/>
        <v>0</v>
      </c>
      <c r="Q75" s="68">
        <f t="shared" si="14"/>
        <v>-2124736.7532441681</v>
      </c>
      <c r="R75" s="69">
        <f t="shared" si="15"/>
        <v>942667.77685064403</v>
      </c>
      <c r="S75" s="68">
        <f t="shared" si="16"/>
        <v>-1182068.9763935241</v>
      </c>
      <c r="T75" s="62">
        <f t="shared" si="17"/>
        <v>14.5</v>
      </c>
      <c r="U75" s="65">
        <f t="shared" si="6"/>
        <v>0.13178965311422353</v>
      </c>
      <c r="V75" s="64">
        <f t="shared" si="7"/>
        <v>-155784.46035598783</v>
      </c>
      <c r="W75" s="64">
        <f t="shared" si="18"/>
        <v>58938190.370700844</v>
      </c>
    </row>
    <row r="76" spans="2:23" x14ac:dyDescent="0.3">
      <c r="B76" s="14">
        <v>16</v>
      </c>
      <c r="C76" s="70">
        <f t="shared" si="19"/>
        <v>258046.696315901</v>
      </c>
      <c r="D76" s="71">
        <f t="shared" si="20"/>
        <v>0.95000000000000018</v>
      </c>
      <c r="E76" s="66">
        <f t="shared" si="8"/>
        <v>4902887.2300021369</v>
      </c>
      <c r="F76" s="66">
        <f>C76*0.5</f>
        <v>129023.3481579505</v>
      </c>
      <c r="G76" s="66">
        <f t="shared" si="10"/>
        <v>6316983.1258132569</v>
      </c>
      <c r="H76" s="64">
        <f t="shared" si="11"/>
        <v>157924.57814533144</v>
      </c>
      <c r="I76" s="14">
        <f t="shared" si="0"/>
        <v>6474907.7039585887</v>
      </c>
      <c r="J76" s="63">
        <f t="shared" si="1"/>
        <v>1275000</v>
      </c>
      <c r="K76" s="67">
        <f t="shared" si="12"/>
        <v>7300721.6438435754</v>
      </c>
      <c r="L76" s="63">
        <f t="shared" si="2"/>
        <v>8575721.6438435763</v>
      </c>
      <c r="M76" s="64">
        <f t="shared" si="3"/>
        <v>297845.75438209507</v>
      </c>
      <c r="N76" s="64">
        <f t="shared" si="4"/>
        <v>838974.3213970731</v>
      </c>
      <c r="O76" s="63">
        <f t="shared" si="5"/>
        <v>-3237634.0156641561</v>
      </c>
      <c r="P76" s="60">
        <f t="shared" si="13"/>
        <v>0</v>
      </c>
      <c r="Q76" s="68">
        <f t="shared" si="14"/>
        <v>-3237634.0156641561</v>
      </c>
      <c r="R76" s="69">
        <f t="shared" si="15"/>
        <v>838974.3213970731</v>
      </c>
      <c r="S76" s="68">
        <f t="shared" si="16"/>
        <v>-2398659.694267083</v>
      </c>
      <c r="T76" s="62">
        <f t="shared" si="17"/>
        <v>15.5</v>
      </c>
      <c r="U76" s="65">
        <f t="shared" si="6"/>
        <v>0.11459969836019435</v>
      </c>
      <c r="V76" s="64">
        <f t="shared" si="7"/>
        <v>-274885.67743176367</v>
      </c>
      <c r="W76" s="64">
        <f t="shared" si="18"/>
        <v>58663304.693269081</v>
      </c>
    </row>
    <row r="77" spans="2:23" x14ac:dyDescent="0.3">
      <c r="B77" s="14">
        <v>17</v>
      </c>
      <c r="C77" s="70">
        <f t="shared" si="19"/>
        <v>229661.55972115189</v>
      </c>
      <c r="D77" s="71">
        <f t="shared" si="20"/>
        <v>0.96000000000000019</v>
      </c>
      <c r="E77" s="66">
        <f t="shared" si="8"/>
        <v>5511877.4333076719</v>
      </c>
      <c r="F77" s="66">
        <f t="shared" si="9"/>
        <v>114830.77986057595</v>
      </c>
      <c r="G77" s="66">
        <f t="shared" si="10"/>
        <v>5622114.9819737989</v>
      </c>
      <c r="H77" s="64">
        <f t="shared" si="11"/>
        <v>140552.87454934497</v>
      </c>
      <c r="I77" s="14">
        <f t="shared" si="0"/>
        <v>5762667.8565231441</v>
      </c>
      <c r="J77" s="63">
        <f t="shared" si="1"/>
        <v>1275000</v>
      </c>
      <c r="K77" s="67">
        <f t="shared" si="12"/>
        <v>8108143.9505653745</v>
      </c>
      <c r="L77" s="63">
        <f t="shared" si="2"/>
        <v>9383143.9505653754</v>
      </c>
      <c r="M77" s="64">
        <f t="shared" si="3"/>
        <v>265082.72140006465</v>
      </c>
      <c r="N77" s="64">
        <f t="shared" si="4"/>
        <v>746687.14604339504</v>
      </c>
      <c r="O77" s="63">
        <f t="shared" si="5"/>
        <v>-4632245.9614856904</v>
      </c>
      <c r="P77" s="60">
        <f t="shared" si="13"/>
        <v>0</v>
      </c>
      <c r="Q77" s="68">
        <f t="shared" si="14"/>
        <v>-4632245.9614856904</v>
      </c>
      <c r="R77" s="69">
        <f t="shared" si="15"/>
        <v>746687.14604339504</v>
      </c>
      <c r="S77" s="68">
        <f t="shared" si="16"/>
        <v>-3885558.8154422953</v>
      </c>
      <c r="T77" s="62">
        <f t="shared" si="17"/>
        <v>16.5</v>
      </c>
      <c r="U77" s="65">
        <f t="shared" si="6"/>
        <v>9.9651911617560346E-2</v>
      </c>
      <c r="V77" s="64">
        <f t="shared" si="7"/>
        <v>-387203.36366128811</v>
      </c>
      <c r="W77" s="64">
        <f t="shared" si="18"/>
        <v>58276101.329607792</v>
      </c>
    </row>
    <row r="78" spans="2:23" x14ac:dyDescent="0.3">
      <c r="B78" s="14">
        <v>18</v>
      </c>
      <c r="C78" s="70">
        <f t="shared" si="19"/>
        <v>204398.7881518252</v>
      </c>
      <c r="D78" s="71">
        <f t="shared" si="20"/>
        <v>0.9700000000000002</v>
      </c>
      <c r="E78" s="66">
        <f t="shared" si="8"/>
        <v>6608894.150242392</v>
      </c>
      <c r="F78" s="66">
        <f t="shared" si="9"/>
        <v>102199.3940759126</v>
      </c>
      <c r="G78" s="66">
        <f t="shared" si="10"/>
        <v>5003682.3339566812</v>
      </c>
      <c r="H78" s="64">
        <f t="shared" si="11"/>
        <v>125092.05834891704</v>
      </c>
      <c r="I78" s="14">
        <f t="shared" si="0"/>
        <v>5128774.3923055986</v>
      </c>
      <c r="J78" s="63">
        <f t="shared" si="1"/>
        <v>1275000</v>
      </c>
      <c r="K78" s="67">
        <f t="shared" si="12"/>
        <v>9605158.9525276702</v>
      </c>
      <c r="L78" s="63">
        <f t="shared" si="2"/>
        <v>10880158.95252767</v>
      </c>
      <c r="M78" s="64">
        <f t="shared" si="3"/>
        <v>235923.62204605754</v>
      </c>
      <c r="N78" s="64">
        <f t="shared" si="4"/>
        <v>664551.55997862178</v>
      </c>
      <c r="O78" s="63">
        <f t="shared" si="5"/>
        <v>-6651859.7422467507</v>
      </c>
      <c r="P78" s="60">
        <f t="shared" si="13"/>
        <v>0</v>
      </c>
      <c r="Q78" s="68">
        <f t="shared" si="14"/>
        <v>-6651859.7422467507</v>
      </c>
      <c r="R78" s="69">
        <f t="shared" si="15"/>
        <v>664551.55997862178</v>
      </c>
      <c r="S78" s="68">
        <f t="shared" si="16"/>
        <v>-5987308.1822681287</v>
      </c>
      <c r="T78" s="62">
        <f t="shared" si="17"/>
        <v>17.5</v>
      </c>
      <c r="U78" s="65">
        <f t="shared" si="6"/>
        <v>8.665383618918289E-2</v>
      </c>
      <c r="V78" s="64">
        <f t="shared" si="7"/>
        <v>-518823.22244041681</v>
      </c>
      <c r="W78" s="64">
        <f t="shared" si="18"/>
        <v>57757278.107167378</v>
      </c>
    </row>
    <row r="79" spans="2:23" x14ac:dyDescent="0.3">
      <c r="B79" s="14">
        <v>19</v>
      </c>
      <c r="C79" s="70">
        <f t="shared" si="19"/>
        <v>181914.92145512442</v>
      </c>
      <c r="D79" s="71">
        <f t="shared" si="20"/>
        <v>0.9800000000000002</v>
      </c>
      <c r="E79" s="66">
        <f t="shared" si="8"/>
        <v>8913831.1513011884</v>
      </c>
      <c r="F79" s="66">
        <f t="shared" si="9"/>
        <v>90957.460727562211</v>
      </c>
      <c r="G79" s="66">
        <f t="shared" si="10"/>
        <v>4453277.2772214459</v>
      </c>
      <c r="H79" s="64">
        <f t="shared" si="11"/>
        <v>111331.93193053616</v>
      </c>
      <c r="I79" s="14">
        <f t="shared" si="0"/>
        <v>4564609.2091519823</v>
      </c>
      <c r="J79" s="63">
        <f t="shared" si="1"/>
        <v>1275000</v>
      </c>
      <c r="K79" s="67">
        <f t="shared" si="12"/>
        <v>12800852.756763233</v>
      </c>
      <c r="L79" s="63">
        <f t="shared" si="2"/>
        <v>14075852.756763233</v>
      </c>
      <c r="M79" s="64">
        <f t="shared" si="3"/>
        <v>209972.02362099118</v>
      </c>
      <c r="N79" s="64">
        <f t="shared" si="4"/>
        <v>591450.88838097337</v>
      </c>
      <c r="O79" s="63">
        <f t="shared" si="5"/>
        <v>-10312666.459613215</v>
      </c>
      <c r="P79" s="60">
        <f t="shared" si="13"/>
        <v>0</v>
      </c>
      <c r="Q79" s="68">
        <f t="shared" si="14"/>
        <v>-10312666.459613215</v>
      </c>
      <c r="R79" s="69">
        <f t="shared" si="15"/>
        <v>591450.88838097337</v>
      </c>
      <c r="S79" s="68">
        <f t="shared" si="16"/>
        <v>-9721215.5712322425</v>
      </c>
      <c r="T79" s="62">
        <f t="shared" si="17"/>
        <v>18.5</v>
      </c>
      <c r="U79" s="65">
        <f t="shared" si="6"/>
        <v>7.5351161903637318E-2</v>
      </c>
      <c r="V79" s="64">
        <f t="shared" si="7"/>
        <v>-732504.88840808079</v>
      </c>
      <c r="W79" s="64">
        <f t="shared" si="18"/>
        <v>57024773.218759298</v>
      </c>
    </row>
    <row r="80" spans="2:23" x14ac:dyDescent="0.3">
      <c r="B80" s="14">
        <v>20</v>
      </c>
      <c r="C80" s="70">
        <f t="shared" si="19"/>
        <v>161904.28009506073</v>
      </c>
      <c r="D80" s="71">
        <f t="shared" si="20"/>
        <v>0.99</v>
      </c>
      <c r="E80" s="66">
        <f t="shared" si="8"/>
        <v>16028523.729410999</v>
      </c>
      <c r="F80" s="66">
        <f t="shared" si="9"/>
        <v>80952.140047530367</v>
      </c>
      <c r="G80" s="66">
        <f t="shared" si="10"/>
        <v>3963416.7767270869</v>
      </c>
      <c r="H80" s="64">
        <f t="shared" si="11"/>
        <v>99085.419418177189</v>
      </c>
      <c r="I80" s="14">
        <f t="shared" si="0"/>
        <v>4062502.196145264</v>
      </c>
      <c r="J80" s="63">
        <f t="shared" si="1"/>
        <v>1275000</v>
      </c>
      <c r="K80" s="67">
        <f t="shared" si="12"/>
        <v>22746296.595185276</v>
      </c>
      <c r="L80" s="63">
        <f t="shared" si="2"/>
        <v>24021296.595185276</v>
      </c>
      <c r="M80" s="64">
        <f t="shared" si="3"/>
        <v>186875.10102268215</v>
      </c>
      <c r="N80" s="64">
        <f t="shared" si="4"/>
        <v>526391.29065906629</v>
      </c>
      <c r="O80" s="63">
        <f t="shared" si="5"/>
        <v>-20672060.790721763</v>
      </c>
      <c r="P80" s="60">
        <f t="shared" si="13"/>
        <v>0</v>
      </c>
      <c r="Q80" s="68">
        <f t="shared" si="14"/>
        <v>-20672060.790721763</v>
      </c>
      <c r="R80" s="69">
        <f t="shared" si="15"/>
        <v>526391.29065906629</v>
      </c>
      <c r="S80" s="68">
        <f t="shared" si="16"/>
        <v>-20145669.500062697</v>
      </c>
      <c r="T80" s="62">
        <f t="shared" si="17"/>
        <v>19.5</v>
      </c>
      <c r="U80" s="65">
        <f t="shared" si="6"/>
        <v>6.5522749481423753E-2</v>
      </c>
      <c r="V80" s="64">
        <f t="shared" si="7"/>
        <v>-1319999.6557881674</v>
      </c>
      <c r="W80" s="64">
        <f t="shared" si="18"/>
        <v>55704773.56297113</v>
      </c>
    </row>
    <row r="81" spans="2:23" x14ac:dyDescent="0.3">
      <c r="B81" s="14">
        <v>21</v>
      </c>
      <c r="C81" s="70">
        <f t="shared" si="19"/>
        <v>144094.80928460407</v>
      </c>
      <c r="D81" s="71">
        <f t="shared" si="20"/>
        <v>0.99</v>
      </c>
      <c r="E81" s="66">
        <f>C81*D81/(1-D81)</f>
        <v>14265386.119175788</v>
      </c>
      <c r="F81" s="66">
        <f t="shared" si="9"/>
        <v>72047.404642302034</v>
      </c>
      <c r="G81" s="66">
        <f t="shared" si="10"/>
        <v>3527440.9312871075</v>
      </c>
      <c r="H81" s="64">
        <f t="shared" si="11"/>
        <v>88186.023282177703</v>
      </c>
      <c r="I81" s="14">
        <f t="shared" si="0"/>
        <v>3615626.9545692853</v>
      </c>
      <c r="J81" s="63">
        <f t="shared" si="1"/>
        <v>1275000</v>
      </c>
      <c r="K81" s="67">
        <f t="shared" si="12"/>
        <v>20244203.969714899</v>
      </c>
      <c r="L81" s="63">
        <f t="shared" si="2"/>
        <v>21519203.969714899</v>
      </c>
      <c r="M81" s="64">
        <f t="shared" si="3"/>
        <v>166318.83991018712</v>
      </c>
      <c r="N81" s="64">
        <f t="shared" si="4"/>
        <v>468488.24868656899</v>
      </c>
      <c r="O81" s="63">
        <f t="shared" si="5"/>
        <v>-18538384.103742372</v>
      </c>
      <c r="P81" s="60">
        <f t="shared" si="13"/>
        <v>0</v>
      </c>
      <c r="Q81" s="68">
        <f t="shared" si="14"/>
        <v>-18538384.103742372</v>
      </c>
      <c r="R81" s="69">
        <f t="shared" si="15"/>
        <v>468488.24868656899</v>
      </c>
      <c r="S81" s="68">
        <f t="shared" si="16"/>
        <v>-18069895.855055802</v>
      </c>
      <c r="T81" s="62">
        <f t="shared" si="17"/>
        <v>20.5</v>
      </c>
      <c r="U81" s="65">
        <f t="shared" si="6"/>
        <v>5.6976303896890207E-2</v>
      </c>
      <c r="V81" s="64">
        <f t="shared" si="7"/>
        <v>-1029555.877622816</v>
      </c>
      <c r="W81" s="64">
        <f t="shared" si="18"/>
        <v>54675217.685348317</v>
      </c>
    </row>
    <row r="82" spans="2:23" x14ac:dyDescent="0.3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86">
        <f>SUM(Q60:Q81)</f>
        <v>-5090214.5990135968</v>
      </c>
      <c r="R82" s="14"/>
      <c r="S82" s="14"/>
      <c r="T82" s="14"/>
      <c r="U82" s="14"/>
      <c r="V82" s="14"/>
      <c r="W82" s="14"/>
    </row>
    <row r="87" spans="2:23" ht="15" thickBot="1" x14ac:dyDescent="0.35"/>
    <row r="88" spans="2:23" ht="16.2" thickBot="1" x14ac:dyDescent="0.35">
      <c r="B88" s="35" t="s">
        <v>35</v>
      </c>
      <c r="C88" s="36"/>
      <c r="D88" s="36"/>
      <c r="E88" s="36"/>
      <c r="F88" s="36"/>
      <c r="G88" s="37"/>
      <c r="H88" s="3"/>
    </row>
    <row r="89" spans="2:23" ht="15" customHeight="1" x14ac:dyDescent="0.3">
      <c r="B89" s="112" t="s">
        <v>76</v>
      </c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</row>
    <row r="90" spans="2:23" ht="25.5" customHeight="1" x14ac:dyDescent="0.3"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</row>
    <row r="91" spans="2:23" ht="38.25" customHeight="1" x14ac:dyDescent="0.3"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</row>
    <row r="92" spans="2:23" ht="15.6" x14ac:dyDescent="0.3">
      <c r="H92" s="3"/>
    </row>
    <row r="93" spans="2:23" ht="15.6" x14ac:dyDescent="0.3">
      <c r="B93" s="14" t="s">
        <v>36</v>
      </c>
      <c r="C93" s="28">
        <v>1482000</v>
      </c>
      <c r="E93" s="14" t="s">
        <v>40</v>
      </c>
      <c r="F93" s="31">
        <v>0.09</v>
      </c>
      <c r="H93" s="39" t="s">
        <v>42</v>
      </c>
      <c r="I93" s="25">
        <v>3000000</v>
      </c>
      <c r="K93" s="27" t="s">
        <v>49</v>
      </c>
      <c r="L93" s="25">
        <v>5000000</v>
      </c>
      <c r="M93" s="41" t="s">
        <v>74</v>
      </c>
    </row>
    <row r="94" spans="2:23" x14ac:dyDescent="0.3">
      <c r="B94" s="14" t="s">
        <v>37</v>
      </c>
      <c r="C94" s="28">
        <v>1541280</v>
      </c>
      <c r="E94" s="14" t="s">
        <v>41</v>
      </c>
      <c r="F94" s="31">
        <v>0.8</v>
      </c>
      <c r="G94" s="15" t="s">
        <v>70</v>
      </c>
      <c r="H94" s="14" t="s">
        <v>17</v>
      </c>
      <c r="I94" s="40">
        <v>3.5</v>
      </c>
      <c r="J94" s="2" t="s">
        <v>18</v>
      </c>
      <c r="K94" s="14" t="s">
        <v>3</v>
      </c>
      <c r="L94" s="23">
        <v>7</v>
      </c>
      <c r="M94" s="2" t="s">
        <v>1</v>
      </c>
    </row>
    <row r="95" spans="2:23" x14ac:dyDescent="0.3">
      <c r="B95" s="14" t="s">
        <v>38</v>
      </c>
      <c r="C95" s="28">
        <v>1541280</v>
      </c>
      <c r="E95" s="16" t="s">
        <v>71</v>
      </c>
      <c r="F95" s="31">
        <v>5.0000000000000001E-3</v>
      </c>
      <c r="G95" s="15" t="s">
        <v>72</v>
      </c>
      <c r="H95" s="14" t="s">
        <v>21</v>
      </c>
      <c r="I95" s="40">
        <v>4</v>
      </c>
      <c r="J95" s="2" t="s">
        <v>19</v>
      </c>
      <c r="K95" s="16" t="s">
        <v>75</v>
      </c>
      <c r="L95" s="14"/>
    </row>
    <row r="96" spans="2:23" x14ac:dyDescent="0.3">
      <c r="B96" s="14" t="s">
        <v>39</v>
      </c>
      <c r="C96" s="38" t="s">
        <v>69</v>
      </c>
      <c r="E96" s="14" t="s">
        <v>45</v>
      </c>
      <c r="F96" s="31">
        <v>0.15</v>
      </c>
      <c r="H96" s="14" t="s">
        <v>20</v>
      </c>
      <c r="I96" s="40">
        <v>0.45</v>
      </c>
      <c r="J96" s="2" t="s">
        <v>11</v>
      </c>
    </row>
    <row r="97" spans="1:32" x14ac:dyDescent="0.3">
      <c r="E97" s="14" t="s">
        <v>29</v>
      </c>
      <c r="F97" s="23">
        <v>500</v>
      </c>
      <c r="G97" s="2" t="s">
        <v>30</v>
      </c>
      <c r="I97" s="10"/>
      <c r="K97" s="27" t="s">
        <v>46</v>
      </c>
      <c r="L97" s="25">
        <f>89250000</f>
        <v>89250000</v>
      </c>
      <c r="M97" s="7" t="s">
        <v>50</v>
      </c>
    </row>
    <row r="98" spans="1:32" x14ac:dyDescent="0.3">
      <c r="F98" s="12"/>
      <c r="I98" s="10"/>
      <c r="K98" s="27" t="s">
        <v>47</v>
      </c>
      <c r="L98" s="28">
        <v>16000000</v>
      </c>
      <c r="M98" s="7" t="s">
        <v>0</v>
      </c>
      <c r="N98" s="7" t="s">
        <v>51</v>
      </c>
    </row>
    <row r="99" spans="1:32" x14ac:dyDescent="0.3">
      <c r="E99" s="78" t="s">
        <v>133</v>
      </c>
      <c r="F99" s="82">
        <v>60</v>
      </c>
      <c r="I99" s="10"/>
      <c r="K99" s="14" t="s">
        <v>13</v>
      </c>
      <c r="L99" s="29">
        <f>L97/L98</f>
        <v>5.578125</v>
      </c>
      <c r="M99" s="2" t="s">
        <v>14</v>
      </c>
    </row>
    <row r="100" spans="1:32" x14ac:dyDescent="0.3">
      <c r="E100" s="78" t="s">
        <v>22</v>
      </c>
      <c r="F100" s="82">
        <v>3</v>
      </c>
      <c r="I100" s="10"/>
    </row>
    <row r="101" spans="1:32" x14ac:dyDescent="0.3">
      <c r="B101" s="51" t="s">
        <v>93</v>
      </c>
      <c r="C101" s="51"/>
      <c r="F101" s="12"/>
      <c r="I101" s="10"/>
    </row>
    <row r="102" spans="1:32" x14ac:dyDescent="0.3">
      <c r="B102" s="17" t="s">
        <v>62</v>
      </c>
      <c r="C102" s="17"/>
      <c r="D102" s="17"/>
      <c r="F102" s="12"/>
      <c r="I102" s="10"/>
      <c r="N102" s="79">
        <f>K107-P106</f>
        <v>72914400</v>
      </c>
    </row>
    <row r="103" spans="1:32" x14ac:dyDescent="0.3">
      <c r="F103" s="12"/>
      <c r="I103" s="10"/>
    </row>
    <row r="104" spans="1:32" x14ac:dyDescent="0.3">
      <c r="B104" s="78" t="s">
        <v>130</v>
      </c>
      <c r="F104" s="12"/>
      <c r="I104" s="10"/>
      <c r="Q104" s="78" t="s">
        <v>143</v>
      </c>
    </row>
    <row r="105" spans="1:32" x14ac:dyDescent="0.3">
      <c r="A105" s="81"/>
      <c r="B105" s="87" t="s">
        <v>103</v>
      </c>
      <c r="C105" s="87" t="s">
        <v>106</v>
      </c>
      <c r="D105" s="87" t="s">
        <v>104</v>
      </c>
      <c r="E105" s="87" t="s">
        <v>107</v>
      </c>
      <c r="F105" s="88" t="s">
        <v>108</v>
      </c>
      <c r="G105" s="87" t="s">
        <v>131</v>
      </c>
      <c r="H105" s="87" t="s">
        <v>132</v>
      </c>
      <c r="I105" s="89" t="s">
        <v>134</v>
      </c>
      <c r="J105" s="87" t="s">
        <v>135</v>
      </c>
      <c r="K105" s="87" t="s">
        <v>142</v>
      </c>
      <c r="L105" s="87" t="s">
        <v>136</v>
      </c>
      <c r="M105" s="87" t="s">
        <v>137</v>
      </c>
      <c r="N105" s="87" t="s">
        <v>138</v>
      </c>
      <c r="O105" s="87" t="s">
        <v>139</v>
      </c>
      <c r="P105" s="117" t="s">
        <v>140</v>
      </c>
      <c r="Q105" s="117" t="s">
        <v>141</v>
      </c>
      <c r="R105" s="117" t="s">
        <v>144</v>
      </c>
      <c r="S105" s="117" t="s">
        <v>145</v>
      </c>
      <c r="T105" s="117" t="s">
        <v>146</v>
      </c>
      <c r="U105" s="125" t="s">
        <v>147</v>
      </c>
      <c r="V105" s="125" t="s">
        <v>148</v>
      </c>
      <c r="W105" s="125" t="s">
        <v>149</v>
      </c>
      <c r="X105" s="125" t="s">
        <v>150</v>
      </c>
      <c r="Y105" s="125" t="s">
        <v>151</v>
      </c>
      <c r="Z105" s="87" t="s">
        <v>153</v>
      </c>
      <c r="AA105" s="87" t="s">
        <v>152</v>
      </c>
      <c r="AB105" s="87" t="s">
        <v>154</v>
      </c>
      <c r="AC105" s="87" t="s">
        <v>155</v>
      </c>
      <c r="AD105" s="87" t="s">
        <v>117</v>
      </c>
      <c r="AE105" s="87" t="s">
        <v>156</v>
      </c>
      <c r="AF105" s="87" t="s">
        <v>157</v>
      </c>
    </row>
    <row r="106" spans="1:32" x14ac:dyDescent="0.3">
      <c r="B106" s="90">
        <v>0</v>
      </c>
      <c r="C106" s="90">
        <v>0</v>
      </c>
      <c r="D106" s="91">
        <v>0</v>
      </c>
      <c r="E106" s="90">
        <f>D106*C106/(1-D106)</f>
        <v>0</v>
      </c>
      <c r="F106" s="92">
        <v>0</v>
      </c>
      <c r="G106" s="14">
        <v>0</v>
      </c>
      <c r="H106" s="14">
        <v>0</v>
      </c>
      <c r="I106" s="93">
        <f>G106+H106</f>
        <v>0</v>
      </c>
      <c r="J106" s="14">
        <f>I106-(0.2*I106)</f>
        <v>0</v>
      </c>
      <c r="K106" s="94">
        <f>I106-J106</f>
        <v>0</v>
      </c>
      <c r="L106" s="63">
        <f>$I$93</f>
        <v>3000000</v>
      </c>
      <c r="M106" s="95">
        <f t="shared" ref="M106:M146" si="21">$I$94*E106</f>
        <v>0</v>
      </c>
      <c r="N106" s="95">
        <f t="shared" ref="N106:N146" si="22">$I$95*C106</f>
        <v>0</v>
      </c>
      <c r="O106" s="95">
        <f t="shared" ref="O106:O146" si="23">$I$96*F106</f>
        <v>0</v>
      </c>
      <c r="P106" s="118"/>
      <c r="Q106" s="118">
        <f>K106-P106</f>
        <v>0</v>
      </c>
      <c r="R106" s="118">
        <f>L93</f>
        <v>5000000</v>
      </c>
      <c r="S106" s="119">
        <f>Q106-(4.6%*K106)</f>
        <v>0</v>
      </c>
      <c r="T106" s="120"/>
      <c r="U106" s="23"/>
      <c r="V106" s="23"/>
      <c r="W106" s="23"/>
      <c r="X106" s="23"/>
      <c r="Y106" s="23"/>
      <c r="Z106" s="14"/>
      <c r="AA106" s="63">
        <f>$R$106*Z106</f>
        <v>0</v>
      </c>
      <c r="AB106" s="96">
        <f>51%*C106*$L$99</f>
        <v>0</v>
      </c>
      <c r="AC106" s="96">
        <f>Y106-AB106-AA106</f>
        <v>0</v>
      </c>
      <c r="AD106" s="96">
        <f>36%*AC106</f>
        <v>0</v>
      </c>
      <c r="AE106" s="96">
        <f>Y106-AD106</f>
        <v>0</v>
      </c>
      <c r="AF106" s="97">
        <f>AE106/(1+$F$29)^(B106-0.5)</f>
        <v>0</v>
      </c>
    </row>
    <row r="107" spans="1:32" x14ac:dyDescent="0.3">
      <c r="B107" s="90">
        <v>1</v>
      </c>
      <c r="C107" s="98">
        <f>C93</f>
        <v>1482000</v>
      </c>
      <c r="D107" s="91">
        <v>0.8</v>
      </c>
      <c r="E107" s="90">
        <f t="shared" ref="E107:E146" si="24">D107*C107/(1-D107)</f>
        <v>5928000.0000000009</v>
      </c>
      <c r="F107" s="99">
        <f>0.5*C107</f>
        <v>741000</v>
      </c>
      <c r="G107" s="96">
        <f>$F$100*F107</f>
        <v>2223000</v>
      </c>
      <c r="H107" s="96">
        <f>$F$99*C107</f>
        <v>88920000</v>
      </c>
      <c r="I107" s="93">
        <f t="shared" ref="I107:I146" si="25">G107+H107</f>
        <v>91143000</v>
      </c>
      <c r="J107" s="14">
        <f>I107-(0.8*I107)</f>
        <v>18228600</v>
      </c>
      <c r="K107" s="94">
        <f t="shared" ref="K107:K146" si="26">I107-J107</f>
        <v>72914400</v>
      </c>
      <c r="L107" s="63">
        <f t="shared" ref="L107:L146" si="27">$I$93</f>
        <v>3000000</v>
      </c>
      <c r="M107" s="95">
        <f t="shared" si="21"/>
        <v>20748000.000000004</v>
      </c>
      <c r="N107" s="95">
        <f t="shared" si="22"/>
        <v>5928000</v>
      </c>
      <c r="O107" s="95">
        <f t="shared" si="23"/>
        <v>333450</v>
      </c>
      <c r="P107" s="118">
        <f t="shared" ref="P107:P146" si="28">SUM(L107:O107)</f>
        <v>30009450.000000004</v>
      </c>
      <c r="Q107" s="118">
        <f t="shared" ref="Q107:Q146" si="29">K107-P107</f>
        <v>42904950</v>
      </c>
      <c r="R107" s="120"/>
      <c r="S107" s="119">
        <f t="shared" ref="S107:S146" si="30">Q107-(4.6%*K107)</f>
        <v>39550887.600000001</v>
      </c>
      <c r="T107" s="121">
        <f>Q107/C107</f>
        <v>28.950708502024291</v>
      </c>
      <c r="U107" s="28">
        <f>0.51*K107</f>
        <v>37186344</v>
      </c>
      <c r="V107" s="126">
        <f>0.51*P107</f>
        <v>15304819.500000002</v>
      </c>
      <c r="W107" s="126">
        <f>0.51*Q107</f>
        <v>21881524.5</v>
      </c>
      <c r="X107" s="23">
        <f>4.6%*U107</f>
        <v>1710571.824</v>
      </c>
      <c r="Y107" s="127">
        <f>U107-V107-X107</f>
        <v>20170952.675999999</v>
      </c>
      <c r="Z107" s="14">
        <v>0.1429</v>
      </c>
      <c r="AA107" s="63">
        <f t="shared" ref="AA107:AA146" si="31">$R$106*Z107</f>
        <v>714500</v>
      </c>
      <c r="AB107" s="96">
        <f t="shared" ref="AB107:AB146" si="32">51%*C107*$L$99</f>
        <v>4216058.4375</v>
      </c>
      <c r="AC107" s="96">
        <f>Y107-AB107-AA107</f>
        <v>15240394.238499999</v>
      </c>
      <c r="AD107" s="96">
        <f>-1775001</f>
        <v>-1775001</v>
      </c>
      <c r="AE107" s="96">
        <f>-1-AD107</f>
        <v>1775000</v>
      </c>
      <c r="AF107" s="97">
        <f t="shared" ref="AF107:AF146" si="33">AE107/(1+$F$29)^(B107-0.5)</f>
        <v>1655196.0346265568</v>
      </c>
    </row>
    <row r="108" spans="1:32" x14ac:dyDescent="0.3">
      <c r="B108" s="90">
        <v>2</v>
      </c>
      <c r="C108" s="98">
        <f>C107*(1.04)</f>
        <v>1541280</v>
      </c>
      <c r="D108" s="91">
        <f>D107+0.005</f>
        <v>0.80500000000000005</v>
      </c>
      <c r="E108" s="90">
        <f t="shared" si="24"/>
        <v>6362720.0000000019</v>
      </c>
      <c r="F108" s="99">
        <f t="shared" ref="F108:F146" si="34">0.5*C108</f>
        <v>770640</v>
      </c>
      <c r="G108" s="96">
        <f t="shared" ref="G108:G147" si="35">$F$100*F108</f>
        <v>2311920</v>
      </c>
      <c r="H108" s="96">
        <f t="shared" ref="H108:H146" si="36">$F$99*C108</f>
        <v>92476800</v>
      </c>
      <c r="I108" s="93">
        <f t="shared" si="25"/>
        <v>94788720</v>
      </c>
      <c r="J108" s="14">
        <f t="shared" ref="J108:J147" si="37">I108-(0.8*I108)</f>
        <v>18957744</v>
      </c>
      <c r="K108" s="94">
        <f t="shared" si="26"/>
        <v>75830976</v>
      </c>
      <c r="L108" s="63">
        <f t="shared" si="27"/>
        <v>3000000</v>
      </c>
      <c r="M108" s="95">
        <f t="shared" si="21"/>
        <v>22269520.000000007</v>
      </c>
      <c r="N108" s="95">
        <f t="shared" si="22"/>
        <v>6165120</v>
      </c>
      <c r="O108" s="95">
        <f t="shared" si="23"/>
        <v>346788</v>
      </c>
      <c r="P108" s="118">
        <f t="shared" si="28"/>
        <v>31781428.000000007</v>
      </c>
      <c r="Q108" s="118">
        <f t="shared" si="29"/>
        <v>44049547.999999993</v>
      </c>
      <c r="R108" s="120"/>
      <c r="S108" s="119">
        <f t="shared" si="30"/>
        <v>40561323.103999995</v>
      </c>
      <c r="T108" s="121">
        <f t="shared" ref="T108:T146" si="38">Q108/C108</f>
        <v>28.579847918613098</v>
      </c>
      <c r="U108" s="28">
        <f t="shared" ref="U108:U146" si="39">0.51*K108</f>
        <v>38673797.759999998</v>
      </c>
      <c r="V108" s="126">
        <f t="shared" ref="V108:V146" si="40">0.51*P108</f>
        <v>16208528.280000005</v>
      </c>
      <c r="W108" s="126">
        <f t="shared" ref="W108:W146" si="41">0.51*Q108</f>
        <v>22465269.479999997</v>
      </c>
      <c r="X108" s="23">
        <f t="shared" ref="X108:X146" si="42">4.6%*U108</f>
        <v>1778994.6969599999</v>
      </c>
      <c r="Y108" s="126">
        <f t="shared" ref="Y108:Y146" si="43">U108-V108-X108</f>
        <v>20686274.783039995</v>
      </c>
      <c r="Z108" s="14">
        <v>0.24490000000000001</v>
      </c>
      <c r="AA108" s="63">
        <f t="shared" si="31"/>
        <v>1224500</v>
      </c>
      <c r="AB108" s="96">
        <f t="shared" si="32"/>
        <v>4384700.7750000004</v>
      </c>
      <c r="AC108" s="96">
        <f t="shared" ref="AC108:AC112" si="44">Y108-AB108-AA108</f>
        <v>15077074.008039994</v>
      </c>
      <c r="AD108" s="96">
        <f t="shared" ref="AD108:AD146" si="45">36%*AC108</f>
        <v>5427746.6428943975</v>
      </c>
      <c r="AE108" s="96">
        <f t="shared" ref="AE108:AE146" si="46">Y108-AD108</f>
        <v>15258528.140145596</v>
      </c>
      <c r="AF108" s="97">
        <f t="shared" si="33"/>
        <v>12372739.875961654</v>
      </c>
    </row>
    <row r="109" spans="1:32" x14ac:dyDescent="0.3">
      <c r="B109" s="90">
        <v>3</v>
      </c>
      <c r="C109" s="98">
        <f>C108</f>
        <v>1541280</v>
      </c>
      <c r="D109" s="91">
        <f t="shared" ref="D109:D146" si="47">D108+0.005</f>
        <v>0.81</v>
      </c>
      <c r="E109" s="90">
        <f t="shared" si="24"/>
        <v>6570720.0000000019</v>
      </c>
      <c r="F109" s="99">
        <f t="shared" si="34"/>
        <v>770640</v>
      </c>
      <c r="G109" s="96">
        <f t="shared" si="35"/>
        <v>2311920</v>
      </c>
      <c r="H109" s="96">
        <f t="shared" si="36"/>
        <v>92476800</v>
      </c>
      <c r="I109" s="93">
        <f t="shared" si="25"/>
        <v>94788720</v>
      </c>
      <c r="J109" s="14">
        <f t="shared" si="37"/>
        <v>18957744</v>
      </c>
      <c r="K109" s="94">
        <f t="shared" si="26"/>
        <v>75830976</v>
      </c>
      <c r="L109" s="63">
        <f t="shared" si="27"/>
        <v>3000000</v>
      </c>
      <c r="M109" s="95">
        <f t="shared" si="21"/>
        <v>22997520.000000007</v>
      </c>
      <c r="N109" s="95">
        <f t="shared" si="22"/>
        <v>6165120</v>
      </c>
      <c r="O109" s="95">
        <f t="shared" si="23"/>
        <v>346788</v>
      </c>
      <c r="P109" s="118">
        <f t="shared" si="28"/>
        <v>32509428.000000007</v>
      </c>
      <c r="Q109" s="118">
        <f t="shared" si="29"/>
        <v>43321547.999999993</v>
      </c>
      <c r="R109" s="120"/>
      <c r="S109" s="119">
        <f t="shared" si="30"/>
        <v>39833323.103999995</v>
      </c>
      <c r="T109" s="121">
        <f t="shared" si="38"/>
        <v>28.107513235752098</v>
      </c>
      <c r="U109" s="28">
        <f t="shared" si="39"/>
        <v>38673797.759999998</v>
      </c>
      <c r="V109" s="126">
        <f t="shared" si="40"/>
        <v>16579808.280000005</v>
      </c>
      <c r="W109" s="126">
        <f t="shared" si="41"/>
        <v>22093989.479999997</v>
      </c>
      <c r="X109" s="23">
        <f t="shared" si="42"/>
        <v>1778994.6969599999</v>
      </c>
      <c r="Y109" s="126">
        <f t="shared" si="43"/>
        <v>20314994.783039995</v>
      </c>
      <c r="Z109" s="14">
        <v>0.1749</v>
      </c>
      <c r="AA109" s="63">
        <f t="shared" si="31"/>
        <v>874500</v>
      </c>
      <c r="AB109" s="96">
        <f t="shared" si="32"/>
        <v>4384700.7750000004</v>
      </c>
      <c r="AC109" s="96">
        <f t="shared" si="44"/>
        <v>15055794.008039994</v>
      </c>
      <c r="AD109" s="96">
        <f t="shared" si="45"/>
        <v>5420085.8428943977</v>
      </c>
      <c r="AE109" s="96">
        <f t="shared" si="46"/>
        <v>14894908.940145597</v>
      </c>
      <c r="AF109" s="97">
        <f t="shared" si="33"/>
        <v>10502513.576550024</v>
      </c>
    </row>
    <row r="110" spans="1:32" x14ac:dyDescent="0.3">
      <c r="B110" s="90">
        <v>4</v>
      </c>
      <c r="C110" s="98">
        <f>C109*(1-0.09)</f>
        <v>1402564.8</v>
      </c>
      <c r="D110" s="91">
        <f t="shared" si="47"/>
        <v>0.81500000000000006</v>
      </c>
      <c r="E110" s="90">
        <f t="shared" si="24"/>
        <v>6178866.5513513545</v>
      </c>
      <c r="F110" s="99">
        <f t="shared" si="34"/>
        <v>701282.4</v>
      </c>
      <c r="G110" s="96">
        <f t="shared" si="35"/>
        <v>2103847.2000000002</v>
      </c>
      <c r="H110" s="96">
        <f t="shared" si="36"/>
        <v>84153888</v>
      </c>
      <c r="I110" s="93">
        <f t="shared" si="25"/>
        <v>86257735.200000003</v>
      </c>
      <c r="J110" s="14">
        <f t="shared" si="37"/>
        <v>17251547.039999992</v>
      </c>
      <c r="K110" s="94">
        <f t="shared" si="26"/>
        <v>69006188.160000011</v>
      </c>
      <c r="L110" s="63">
        <f t="shared" si="27"/>
        <v>3000000</v>
      </c>
      <c r="M110" s="95">
        <f t="shared" si="21"/>
        <v>21626032.929729741</v>
      </c>
      <c r="N110" s="95">
        <f t="shared" si="22"/>
        <v>5610259.2000000002</v>
      </c>
      <c r="O110" s="95">
        <f t="shared" si="23"/>
        <v>315577.08</v>
      </c>
      <c r="P110" s="118">
        <f t="shared" si="28"/>
        <v>30551869.209729739</v>
      </c>
      <c r="Q110" s="118">
        <f t="shared" si="29"/>
        <v>38454318.950270273</v>
      </c>
      <c r="R110" s="120"/>
      <c r="S110" s="119">
        <f t="shared" si="30"/>
        <v>35280034.294910274</v>
      </c>
      <c r="T110" s="121">
        <f t="shared" si="38"/>
        <v>27.417142473752566</v>
      </c>
      <c r="U110" s="28">
        <f t="shared" si="39"/>
        <v>35193155.961600006</v>
      </c>
      <c r="V110" s="126">
        <f t="shared" si="40"/>
        <v>15581453.296962166</v>
      </c>
      <c r="W110" s="126">
        <f t="shared" si="41"/>
        <v>19611702.664637841</v>
      </c>
      <c r="X110" s="23">
        <f t="shared" si="42"/>
        <v>1618885.1742336003</v>
      </c>
      <c r="Y110" s="126">
        <f t="shared" si="43"/>
        <v>17992817.490404241</v>
      </c>
      <c r="Z110" s="14">
        <v>0.1249</v>
      </c>
      <c r="AA110" s="63">
        <f t="shared" si="31"/>
        <v>624500</v>
      </c>
      <c r="AB110" s="96">
        <f t="shared" si="32"/>
        <v>3990077.7052500006</v>
      </c>
      <c r="AC110" s="96">
        <f t="shared" si="44"/>
        <v>13378239.78515424</v>
      </c>
      <c r="AD110" s="96">
        <f t="shared" si="45"/>
        <v>4816166.322655526</v>
      </c>
      <c r="AE110" s="96">
        <f t="shared" si="46"/>
        <v>13176651.167748716</v>
      </c>
      <c r="AF110" s="97">
        <f t="shared" si="33"/>
        <v>8079093.0026669027</v>
      </c>
    </row>
    <row r="111" spans="1:32" x14ac:dyDescent="0.3">
      <c r="B111" s="90">
        <v>5</v>
      </c>
      <c r="C111" s="98">
        <f t="shared" ref="C111:C146" si="48">C110*(1-0.09)</f>
        <v>1276333.9680000001</v>
      </c>
      <c r="D111" s="91">
        <f t="shared" si="47"/>
        <v>0.82000000000000006</v>
      </c>
      <c r="E111" s="90">
        <f t="shared" si="24"/>
        <v>5814410.29866667</v>
      </c>
      <c r="F111" s="99">
        <f t="shared" si="34"/>
        <v>638166.98400000005</v>
      </c>
      <c r="G111" s="96">
        <f t="shared" si="35"/>
        <v>1914500.952</v>
      </c>
      <c r="H111" s="96">
        <f t="shared" si="36"/>
        <v>76580038.080000013</v>
      </c>
      <c r="I111" s="93">
        <f t="shared" si="25"/>
        <v>78494539.03200002</v>
      </c>
      <c r="J111" s="14">
        <f t="shared" si="37"/>
        <v>15698907.806400001</v>
      </c>
      <c r="K111" s="94">
        <f t="shared" si="26"/>
        <v>62795631.225600019</v>
      </c>
      <c r="L111" s="63">
        <f t="shared" si="27"/>
        <v>3000000</v>
      </c>
      <c r="M111" s="95">
        <f t="shared" si="21"/>
        <v>20350436.045333344</v>
      </c>
      <c r="N111" s="95">
        <f t="shared" si="22"/>
        <v>5105335.8720000004</v>
      </c>
      <c r="O111" s="95">
        <f t="shared" si="23"/>
        <v>287175.14280000003</v>
      </c>
      <c r="P111" s="118">
        <f t="shared" si="28"/>
        <v>28742947.060133345</v>
      </c>
      <c r="Q111" s="118">
        <f t="shared" si="29"/>
        <v>34052684.165466674</v>
      </c>
      <c r="R111" s="120"/>
      <c r="S111" s="119">
        <f t="shared" si="30"/>
        <v>31164085.129089072</v>
      </c>
      <c r="T111" s="121">
        <f t="shared" si="38"/>
        <v>26.680073569480264</v>
      </c>
      <c r="U111" s="28">
        <f t="shared" si="39"/>
        <v>32025771.92505601</v>
      </c>
      <c r="V111" s="126">
        <f t="shared" si="40"/>
        <v>14658903.000668006</v>
      </c>
      <c r="W111" s="126">
        <f t="shared" si="41"/>
        <v>17366868.924388003</v>
      </c>
      <c r="X111" s="23">
        <f t="shared" si="42"/>
        <v>1473185.5085525764</v>
      </c>
      <c r="Y111" s="126">
        <f t="shared" si="43"/>
        <v>15893683.415835429</v>
      </c>
      <c r="Z111" s="14">
        <v>8.9300000000000004E-2</v>
      </c>
      <c r="AA111" s="63">
        <f t="shared" si="31"/>
        <v>446500</v>
      </c>
      <c r="AB111" s="96">
        <f t="shared" si="32"/>
        <v>3630970.7117775003</v>
      </c>
      <c r="AC111" s="96">
        <f t="shared" si="44"/>
        <v>11816212.704057928</v>
      </c>
      <c r="AD111" s="96">
        <f t="shared" si="45"/>
        <v>4253836.5734608537</v>
      </c>
      <c r="AE111" s="96">
        <f t="shared" si="46"/>
        <v>11639846.842374574</v>
      </c>
      <c r="AF111" s="97">
        <f t="shared" si="33"/>
        <v>6205931.5955532622</v>
      </c>
    </row>
    <row r="112" spans="1:32" x14ac:dyDescent="0.3">
      <c r="B112" s="90">
        <v>6</v>
      </c>
      <c r="C112" s="98">
        <f t="shared" si="48"/>
        <v>1161463.9108800001</v>
      </c>
      <c r="D112" s="91">
        <f t="shared" si="47"/>
        <v>0.82500000000000007</v>
      </c>
      <c r="E112" s="90">
        <f t="shared" si="24"/>
        <v>5475472.7227200028</v>
      </c>
      <c r="F112" s="99">
        <f t="shared" si="34"/>
        <v>580731.95544000005</v>
      </c>
      <c r="G112" s="96">
        <f t="shared" si="35"/>
        <v>1742195.86632</v>
      </c>
      <c r="H112" s="96">
        <f t="shared" si="36"/>
        <v>69687834.652800009</v>
      </c>
      <c r="I112" s="93">
        <f t="shared" si="25"/>
        <v>71430030.519120008</v>
      </c>
      <c r="J112" s="14">
        <f t="shared" si="37"/>
        <v>14286006.103823997</v>
      </c>
      <c r="K112" s="94">
        <f t="shared" si="26"/>
        <v>57144024.415296011</v>
      </c>
      <c r="L112" s="63">
        <f t="shared" si="27"/>
        <v>3000000</v>
      </c>
      <c r="M112" s="95">
        <f t="shared" si="21"/>
        <v>19164154.529520009</v>
      </c>
      <c r="N112" s="95">
        <f t="shared" si="22"/>
        <v>4645855.6435200004</v>
      </c>
      <c r="O112" s="95">
        <f t="shared" si="23"/>
        <v>261329.37994800002</v>
      </c>
      <c r="P112" s="118">
        <f t="shared" si="28"/>
        <v>27071339.552988011</v>
      </c>
      <c r="Q112" s="118">
        <f t="shared" si="29"/>
        <v>30072684.862307999</v>
      </c>
      <c r="R112" s="120"/>
      <c r="S112" s="119">
        <f t="shared" si="30"/>
        <v>27444059.739204384</v>
      </c>
      <c r="T112" s="121">
        <f t="shared" si="38"/>
        <v>25.89205276255462</v>
      </c>
      <c r="U112" s="28">
        <f t="shared" si="39"/>
        <v>29143452.451800965</v>
      </c>
      <c r="V112" s="126">
        <f t="shared" si="40"/>
        <v>13806383.172023887</v>
      </c>
      <c r="W112" s="126">
        <f t="shared" si="41"/>
        <v>15337069.27977708</v>
      </c>
      <c r="X112" s="23">
        <f t="shared" si="42"/>
        <v>1340598.8127828443</v>
      </c>
      <c r="Y112" s="126">
        <f t="shared" si="43"/>
        <v>13996470.466994233</v>
      </c>
      <c r="Z112" s="14">
        <v>8.9200000000000002E-2</v>
      </c>
      <c r="AA112" s="63">
        <f t="shared" si="31"/>
        <v>446000</v>
      </c>
      <c r="AB112" s="96">
        <f t="shared" si="32"/>
        <v>3304183.347717525</v>
      </c>
      <c r="AC112" s="96">
        <f t="shared" si="44"/>
        <v>10246287.119276708</v>
      </c>
      <c r="AD112" s="96">
        <f t="shared" si="45"/>
        <v>3688663.3629396148</v>
      </c>
      <c r="AE112" s="96">
        <f t="shared" si="46"/>
        <v>10307807.104054619</v>
      </c>
      <c r="AF112" s="97">
        <f t="shared" si="33"/>
        <v>4778902.398182123</v>
      </c>
    </row>
    <row r="113" spans="2:32" x14ac:dyDescent="0.3">
      <c r="B113" s="90">
        <v>7</v>
      </c>
      <c r="C113" s="98">
        <f t="shared" si="48"/>
        <v>1056932.1589008002</v>
      </c>
      <c r="D113" s="91">
        <f t="shared" si="47"/>
        <v>0.83000000000000007</v>
      </c>
      <c r="E113" s="90">
        <f t="shared" si="24"/>
        <v>5160315.8346333215</v>
      </c>
      <c r="F113" s="99">
        <f t="shared" si="34"/>
        <v>528466.07945040008</v>
      </c>
      <c r="G113" s="96">
        <f t="shared" si="35"/>
        <v>1585398.2383512002</v>
      </c>
      <c r="H113" s="96">
        <f t="shared" si="36"/>
        <v>63415929.534048006</v>
      </c>
      <c r="I113" s="93">
        <f t="shared" si="25"/>
        <v>65001327.772399209</v>
      </c>
      <c r="J113" s="14">
        <f t="shared" si="37"/>
        <v>13000265.554479837</v>
      </c>
      <c r="K113" s="94">
        <f t="shared" si="26"/>
        <v>52001062.217919372</v>
      </c>
      <c r="L113" s="63">
        <f t="shared" si="27"/>
        <v>3000000</v>
      </c>
      <c r="M113" s="95">
        <f t="shared" si="21"/>
        <v>18061105.421216626</v>
      </c>
      <c r="N113" s="95">
        <f t="shared" si="22"/>
        <v>4227728.6356032006</v>
      </c>
      <c r="O113" s="95">
        <f t="shared" si="23"/>
        <v>237809.73575268005</v>
      </c>
      <c r="P113" s="118">
        <f t="shared" si="28"/>
        <v>25526643.792572506</v>
      </c>
      <c r="Q113" s="118">
        <f t="shared" si="29"/>
        <v>26474418.425346866</v>
      </c>
      <c r="R113" s="120"/>
      <c r="S113" s="119">
        <f t="shared" si="30"/>
        <v>24082369.563322574</v>
      </c>
      <c r="T113" s="121">
        <f t="shared" si="38"/>
        <v>25.048361148250063</v>
      </c>
      <c r="U113" s="28">
        <f t="shared" si="39"/>
        <v>26520541.731138881</v>
      </c>
      <c r="V113" s="126">
        <f t="shared" si="40"/>
        <v>13018588.334211979</v>
      </c>
      <c r="W113" s="126">
        <f t="shared" si="41"/>
        <v>13501953.396926902</v>
      </c>
      <c r="X113" s="23">
        <f t="shared" si="42"/>
        <v>1219944.9196323885</v>
      </c>
      <c r="Y113" s="126">
        <f t="shared" si="43"/>
        <v>12282008.477294514</v>
      </c>
      <c r="Z113" s="14">
        <v>8.9300000000000004E-2</v>
      </c>
      <c r="AA113" s="63">
        <f t="shared" si="31"/>
        <v>446500</v>
      </c>
      <c r="AB113" s="96">
        <f t="shared" si="32"/>
        <v>3006806.8464229479</v>
      </c>
      <c r="AC113" s="96">
        <f t="shared" ref="AC113:AC146" si="49">Y113-AB113-AA113</f>
        <v>8828701.630871566</v>
      </c>
      <c r="AD113" s="96">
        <f t="shared" si="45"/>
        <v>3178332.5871137637</v>
      </c>
      <c r="AE113" s="96">
        <f t="shared" si="46"/>
        <v>9103675.8901807498</v>
      </c>
      <c r="AF113" s="97">
        <f t="shared" si="33"/>
        <v>3670124.7396590309</v>
      </c>
    </row>
    <row r="114" spans="2:32" x14ac:dyDescent="0.3">
      <c r="B114" s="90">
        <v>8</v>
      </c>
      <c r="C114" s="98">
        <f t="shared" si="48"/>
        <v>961808.26459972817</v>
      </c>
      <c r="D114" s="91">
        <f t="shared" si="47"/>
        <v>0.83500000000000008</v>
      </c>
      <c r="E114" s="90">
        <f t="shared" si="24"/>
        <v>4867332.7329743849</v>
      </c>
      <c r="F114" s="99">
        <f t="shared" si="34"/>
        <v>480904.13229986408</v>
      </c>
      <c r="G114" s="96">
        <f t="shared" si="35"/>
        <v>1442712.3968995921</v>
      </c>
      <c r="H114" s="96">
        <f t="shared" si="36"/>
        <v>57708495.875983693</v>
      </c>
      <c r="I114" s="93">
        <f t="shared" si="25"/>
        <v>59151208.272883281</v>
      </c>
      <c r="J114" s="14">
        <f t="shared" si="37"/>
        <v>11830241.654576652</v>
      </c>
      <c r="K114" s="94">
        <f t="shared" si="26"/>
        <v>47320966.618306629</v>
      </c>
      <c r="L114" s="63">
        <f t="shared" si="27"/>
        <v>3000000</v>
      </c>
      <c r="M114" s="95">
        <f t="shared" si="21"/>
        <v>17035664.565410346</v>
      </c>
      <c r="N114" s="95">
        <f t="shared" si="22"/>
        <v>3847233.0583989127</v>
      </c>
      <c r="O114" s="95">
        <f t="shared" si="23"/>
        <v>216406.85953493885</v>
      </c>
      <c r="P114" s="118">
        <f t="shared" si="28"/>
        <v>24099304.483344197</v>
      </c>
      <c r="Q114" s="118">
        <f t="shared" si="29"/>
        <v>23221662.134962432</v>
      </c>
      <c r="R114" s="120"/>
      <c r="S114" s="119">
        <f t="shared" si="30"/>
        <v>21044897.670520328</v>
      </c>
      <c r="T114" s="121">
        <f t="shared" si="38"/>
        <v>24.14375399927188</v>
      </c>
      <c r="U114" s="28">
        <f t="shared" si="39"/>
        <v>24133692.97533638</v>
      </c>
      <c r="V114" s="126">
        <f t="shared" si="40"/>
        <v>12290645.286505541</v>
      </c>
      <c r="W114" s="126">
        <f t="shared" si="41"/>
        <v>11843047.688830841</v>
      </c>
      <c r="X114" s="23">
        <f t="shared" si="42"/>
        <v>1110149.8768654736</v>
      </c>
      <c r="Y114" s="126">
        <f t="shared" si="43"/>
        <v>10732897.811965365</v>
      </c>
      <c r="Z114" s="14">
        <v>4.4600000000000001E-2</v>
      </c>
      <c r="AA114" s="63">
        <f t="shared" si="31"/>
        <v>223000</v>
      </c>
      <c r="AB114" s="96">
        <f t="shared" si="32"/>
        <v>2736194.2302448829</v>
      </c>
      <c r="AC114" s="96">
        <f t="shared" si="49"/>
        <v>7773703.5817204826</v>
      </c>
      <c r="AD114" s="96">
        <f t="shared" si="45"/>
        <v>2798533.2894193735</v>
      </c>
      <c r="AE114" s="96">
        <f t="shared" si="46"/>
        <v>7934364.5225459915</v>
      </c>
      <c r="AF114" s="97">
        <f t="shared" si="33"/>
        <v>2781495.4023207063</v>
      </c>
    </row>
    <row r="115" spans="2:32" x14ac:dyDescent="0.3">
      <c r="B115" s="90">
        <v>9</v>
      </c>
      <c r="C115" s="98">
        <f t="shared" si="48"/>
        <v>875245.52078575268</v>
      </c>
      <c r="D115" s="91">
        <f t="shared" si="47"/>
        <v>0.84000000000000008</v>
      </c>
      <c r="E115" s="90">
        <f t="shared" si="24"/>
        <v>4595038.9841252044</v>
      </c>
      <c r="F115" s="99">
        <f t="shared" si="34"/>
        <v>437622.76039287634</v>
      </c>
      <c r="G115" s="96">
        <f t="shared" si="35"/>
        <v>1312868.281178629</v>
      </c>
      <c r="H115" s="96">
        <f t="shared" si="36"/>
        <v>52514731.247145161</v>
      </c>
      <c r="I115" s="93">
        <f t="shared" si="25"/>
        <v>53827599.528323792</v>
      </c>
      <c r="J115" s="14">
        <f t="shared" si="37"/>
        <v>10765519.905664757</v>
      </c>
      <c r="K115" s="94">
        <f t="shared" si="26"/>
        <v>43062079.622659035</v>
      </c>
      <c r="L115" s="63">
        <f t="shared" si="27"/>
        <v>3000000</v>
      </c>
      <c r="M115" s="95">
        <f t="shared" si="21"/>
        <v>16082636.444438215</v>
      </c>
      <c r="N115" s="95">
        <f t="shared" si="22"/>
        <v>3500982.0831430107</v>
      </c>
      <c r="O115" s="95">
        <f t="shared" si="23"/>
        <v>196930.24217679436</v>
      </c>
      <c r="P115" s="118">
        <f t="shared" si="28"/>
        <v>22780548.76975802</v>
      </c>
      <c r="Q115" s="118">
        <f t="shared" si="29"/>
        <v>20281530.852901015</v>
      </c>
      <c r="R115" s="120"/>
      <c r="S115" s="119">
        <f t="shared" si="30"/>
        <v>18300675.1902587</v>
      </c>
      <c r="T115" s="121">
        <f t="shared" si="38"/>
        <v>23.172390342190209</v>
      </c>
      <c r="U115" s="28">
        <f t="shared" si="39"/>
        <v>21961660.607556108</v>
      </c>
      <c r="V115" s="126">
        <f t="shared" si="40"/>
        <v>11618079.872576591</v>
      </c>
      <c r="W115" s="126">
        <f t="shared" si="41"/>
        <v>10343580.734979518</v>
      </c>
      <c r="X115" s="23">
        <f t="shared" si="42"/>
        <v>1010236.387947581</v>
      </c>
      <c r="Y115" s="126">
        <f t="shared" si="43"/>
        <v>9333344.347031936</v>
      </c>
      <c r="Z115" s="14"/>
      <c r="AA115" s="63">
        <f t="shared" si="31"/>
        <v>0</v>
      </c>
      <c r="AB115" s="96">
        <f t="shared" si="32"/>
        <v>2489936.7495228439</v>
      </c>
      <c r="AC115" s="96">
        <f t="shared" si="49"/>
        <v>6843407.5975090917</v>
      </c>
      <c r="AD115" s="96">
        <f t="shared" si="45"/>
        <v>2463626.7351032728</v>
      </c>
      <c r="AE115" s="96">
        <f t="shared" si="46"/>
        <v>6869717.6119286632</v>
      </c>
      <c r="AF115" s="97">
        <f t="shared" si="33"/>
        <v>2094147.3771985727</v>
      </c>
    </row>
    <row r="116" spans="2:32" x14ac:dyDescent="0.3">
      <c r="B116" s="90">
        <v>10</v>
      </c>
      <c r="C116" s="98">
        <f t="shared" si="48"/>
        <v>796473.42391503497</v>
      </c>
      <c r="D116" s="91">
        <f t="shared" si="47"/>
        <v>0.84500000000000008</v>
      </c>
      <c r="E116" s="90">
        <f t="shared" si="24"/>
        <v>4342064.7948916452</v>
      </c>
      <c r="F116" s="99">
        <f t="shared" si="34"/>
        <v>398236.71195751749</v>
      </c>
      <c r="G116" s="96">
        <f t="shared" si="35"/>
        <v>1194710.1358725524</v>
      </c>
      <c r="H116" s="96">
        <f t="shared" si="36"/>
        <v>47788405.434902102</v>
      </c>
      <c r="I116" s="93">
        <f t="shared" si="25"/>
        <v>48983115.570774652</v>
      </c>
      <c r="J116" s="14">
        <f t="shared" si="37"/>
        <v>9796623.1141549274</v>
      </c>
      <c r="K116" s="94">
        <f t="shared" si="26"/>
        <v>39186492.456619725</v>
      </c>
      <c r="L116" s="63">
        <f t="shared" si="27"/>
        <v>3000000</v>
      </c>
      <c r="M116" s="95">
        <f t="shared" si="21"/>
        <v>15197226.782120759</v>
      </c>
      <c r="N116" s="95">
        <f t="shared" si="22"/>
        <v>3185893.6956601399</v>
      </c>
      <c r="O116" s="95">
        <f t="shared" si="23"/>
        <v>179206.52038088287</v>
      </c>
      <c r="P116" s="118">
        <f t="shared" si="28"/>
        <v>21562326.998161782</v>
      </c>
      <c r="Q116" s="118">
        <f t="shared" si="29"/>
        <v>17624165.458457943</v>
      </c>
      <c r="R116" s="120"/>
      <c r="S116" s="119">
        <f t="shared" si="30"/>
        <v>15821586.805453436</v>
      </c>
      <c r="T116" s="121">
        <f t="shared" si="38"/>
        <v>22.127750819138477</v>
      </c>
      <c r="U116" s="28">
        <f t="shared" si="39"/>
        <v>19985111.15287606</v>
      </c>
      <c r="V116" s="126">
        <f t="shared" si="40"/>
        <v>10996786.769062508</v>
      </c>
      <c r="W116" s="126">
        <f t="shared" si="41"/>
        <v>8988324.3838135507</v>
      </c>
      <c r="X116" s="23">
        <f t="shared" si="42"/>
        <v>919315.11303229874</v>
      </c>
      <c r="Y116" s="126">
        <f t="shared" si="43"/>
        <v>8069009.2707812535</v>
      </c>
      <c r="Z116" s="14"/>
      <c r="AA116" s="63">
        <f t="shared" si="31"/>
        <v>0</v>
      </c>
      <c r="AB116" s="96">
        <f t="shared" si="32"/>
        <v>2265842.442065788</v>
      </c>
      <c r="AC116" s="96">
        <f t="shared" si="49"/>
        <v>5803166.828715466</v>
      </c>
      <c r="AD116" s="96">
        <f t="shared" si="45"/>
        <v>2089140.0583375676</v>
      </c>
      <c r="AE116" s="96">
        <f t="shared" si="46"/>
        <v>5979869.2124436861</v>
      </c>
      <c r="AF116" s="97">
        <f t="shared" si="33"/>
        <v>1585120.2062050488</v>
      </c>
    </row>
    <row r="117" spans="2:32" x14ac:dyDescent="0.3">
      <c r="B117" s="90">
        <v>11</v>
      </c>
      <c r="C117" s="98">
        <f t="shared" si="48"/>
        <v>724790.81576268189</v>
      </c>
      <c r="D117" s="91">
        <f t="shared" si="47"/>
        <v>0.85000000000000009</v>
      </c>
      <c r="E117" s="90">
        <f t="shared" si="24"/>
        <v>4107147.9559885338</v>
      </c>
      <c r="F117" s="99">
        <f t="shared" si="34"/>
        <v>362395.40788134094</v>
      </c>
      <c r="G117" s="96">
        <f t="shared" si="35"/>
        <v>1087186.2236440228</v>
      </c>
      <c r="H117" s="96">
        <f t="shared" si="36"/>
        <v>43487448.945760913</v>
      </c>
      <c r="I117" s="93">
        <f t="shared" si="25"/>
        <v>44574635.169404939</v>
      </c>
      <c r="J117" s="14">
        <f t="shared" si="37"/>
        <v>8914927.0338809863</v>
      </c>
      <c r="K117" s="94">
        <f t="shared" si="26"/>
        <v>35659708.135523953</v>
      </c>
      <c r="L117" s="63">
        <f t="shared" si="27"/>
        <v>3000000</v>
      </c>
      <c r="M117" s="95">
        <f t="shared" si="21"/>
        <v>14375017.845959868</v>
      </c>
      <c r="N117" s="95">
        <f t="shared" si="22"/>
        <v>2899163.2630507275</v>
      </c>
      <c r="O117" s="95">
        <f t="shared" si="23"/>
        <v>163077.93354660342</v>
      </c>
      <c r="P117" s="118">
        <f t="shared" si="28"/>
        <v>20437259.042557199</v>
      </c>
      <c r="Q117" s="118">
        <f t="shared" si="29"/>
        <v>15222449.092966754</v>
      </c>
      <c r="R117" s="120"/>
      <c r="S117" s="119">
        <f t="shared" si="30"/>
        <v>13582102.518732652</v>
      </c>
      <c r="T117" s="121">
        <f t="shared" si="38"/>
        <v>21.002541370434582</v>
      </c>
      <c r="U117" s="28">
        <f t="shared" si="39"/>
        <v>18186451.149117216</v>
      </c>
      <c r="V117" s="126">
        <f t="shared" si="40"/>
        <v>10423002.111704171</v>
      </c>
      <c r="W117" s="126">
        <f t="shared" si="41"/>
        <v>7763449.0374130448</v>
      </c>
      <c r="X117" s="23">
        <f t="shared" si="42"/>
        <v>836576.75285939197</v>
      </c>
      <c r="Y117" s="126">
        <f t="shared" si="43"/>
        <v>6926872.2845536536</v>
      </c>
      <c r="Z117" s="14"/>
      <c r="AA117" s="63">
        <f t="shared" si="31"/>
        <v>0</v>
      </c>
      <c r="AB117" s="96">
        <f t="shared" si="32"/>
        <v>2061916.6222798671</v>
      </c>
      <c r="AC117" s="96">
        <f t="shared" si="49"/>
        <v>4864955.662273787</v>
      </c>
      <c r="AD117" s="96">
        <f t="shared" si="45"/>
        <v>1751384.0384185633</v>
      </c>
      <c r="AE117" s="96">
        <f t="shared" si="46"/>
        <v>5175488.2461350905</v>
      </c>
      <c r="AF117" s="97">
        <f t="shared" si="33"/>
        <v>1192954.8383191468</v>
      </c>
    </row>
    <row r="118" spans="2:32" x14ac:dyDescent="0.3">
      <c r="B118" s="90">
        <v>12</v>
      </c>
      <c r="C118" s="98">
        <f t="shared" si="48"/>
        <v>659559.64234404056</v>
      </c>
      <c r="D118" s="91">
        <f t="shared" si="47"/>
        <v>0.85500000000000009</v>
      </c>
      <c r="E118" s="90">
        <f t="shared" si="24"/>
        <v>3889127.5462355521</v>
      </c>
      <c r="F118" s="99">
        <f t="shared" si="34"/>
        <v>329779.82117202028</v>
      </c>
      <c r="G118" s="96">
        <f t="shared" si="35"/>
        <v>989339.46351606084</v>
      </c>
      <c r="H118" s="96">
        <f t="shared" si="36"/>
        <v>39573578.540642433</v>
      </c>
      <c r="I118" s="93">
        <f t="shared" si="25"/>
        <v>40562918.004158497</v>
      </c>
      <c r="J118" s="14">
        <f t="shared" si="37"/>
        <v>8112583.6008316986</v>
      </c>
      <c r="K118" s="94">
        <f t="shared" si="26"/>
        <v>32450334.403326798</v>
      </c>
      <c r="L118" s="63">
        <f t="shared" si="27"/>
        <v>3000000</v>
      </c>
      <c r="M118" s="95">
        <f t="shared" si="21"/>
        <v>13611946.411824431</v>
      </c>
      <c r="N118" s="95">
        <f t="shared" si="22"/>
        <v>2638238.5693761623</v>
      </c>
      <c r="O118" s="95">
        <f t="shared" si="23"/>
        <v>148400.91952740913</v>
      </c>
      <c r="P118" s="118">
        <f t="shared" si="28"/>
        <v>19398585.900728002</v>
      </c>
      <c r="Q118" s="118">
        <f t="shared" si="29"/>
        <v>13051748.502598796</v>
      </c>
      <c r="R118" s="120"/>
      <c r="S118" s="119">
        <f t="shared" si="30"/>
        <v>11559033.120045763</v>
      </c>
      <c r="T118" s="121">
        <f t="shared" si="38"/>
        <v>19.788579628998466</v>
      </c>
      <c r="U118" s="28">
        <f t="shared" si="39"/>
        <v>16549670.545696666</v>
      </c>
      <c r="V118" s="126">
        <f t="shared" si="40"/>
        <v>9893278.8093712814</v>
      </c>
      <c r="W118" s="126">
        <f t="shared" si="41"/>
        <v>6656391.736325386</v>
      </c>
      <c r="X118" s="23">
        <f t="shared" si="42"/>
        <v>761284.84510204662</v>
      </c>
      <c r="Y118" s="126">
        <f t="shared" si="43"/>
        <v>5895106.8912233384</v>
      </c>
      <c r="Z118" s="14"/>
      <c r="AA118" s="63">
        <f t="shared" si="31"/>
        <v>0</v>
      </c>
      <c r="AB118" s="96">
        <f t="shared" si="32"/>
        <v>1876344.1262746793</v>
      </c>
      <c r="AC118" s="96">
        <f t="shared" si="49"/>
        <v>4018762.7649486591</v>
      </c>
      <c r="AD118" s="96">
        <f t="shared" si="45"/>
        <v>1446754.5953815172</v>
      </c>
      <c r="AE118" s="96">
        <f t="shared" si="46"/>
        <v>4448352.2958418215</v>
      </c>
      <c r="AF118" s="97">
        <f t="shared" si="33"/>
        <v>891608.11107350595</v>
      </c>
    </row>
    <row r="119" spans="2:32" x14ac:dyDescent="0.3">
      <c r="B119" s="90">
        <v>13</v>
      </c>
      <c r="C119" s="98">
        <f t="shared" si="48"/>
        <v>600199.27453307691</v>
      </c>
      <c r="D119" s="91">
        <f t="shared" si="47"/>
        <v>0.8600000000000001</v>
      </c>
      <c r="E119" s="90">
        <f t="shared" si="24"/>
        <v>3686938.4007031899</v>
      </c>
      <c r="F119" s="99">
        <f t="shared" si="34"/>
        <v>300099.63726653846</v>
      </c>
      <c r="G119" s="96">
        <f t="shared" si="35"/>
        <v>900298.91179961537</v>
      </c>
      <c r="H119" s="96">
        <f t="shared" si="36"/>
        <v>36011956.471984617</v>
      </c>
      <c r="I119" s="93">
        <f t="shared" si="25"/>
        <v>36912255.383784235</v>
      </c>
      <c r="J119" s="14">
        <f t="shared" si="37"/>
        <v>7382451.0767568462</v>
      </c>
      <c r="K119" s="94">
        <f t="shared" si="26"/>
        <v>29529804.307027388</v>
      </c>
      <c r="L119" s="63">
        <f t="shared" si="27"/>
        <v>3000000</v>
      </c>
      <c r="M119" s="95">
        <f t="shared" si="21"/>
        <v>12904284.402461164</v>
      </c>
      <c r="N119" s="95">
        <f t="shared" si="22"/>
        <v>2400797.0981323076</v>
      </c>
      <c r="O119" s="95">
        <f t="shared" si="23"/>
        <v>135044.83676994231</v>
      </c>
      <c r="P119" s="118">
        <f t="shared" si="28"/>
        <v>18440126.337363414</v>
      </c>
      <c r="Q119" s="118">
        <f t="shared" si="29"/>
        <v>11089677.969663974</v>
      </c>
      <c r="R119" s="120"/>
      <c r="S119" s="119">
        <f t="shared" si="30"/>
        <v>9731306.9715407137</v>
      </c>
      <c r="T119" s="121">
        <f t="shared" si="38"/>
        <v>18.476660069759586</v>
      </c>
      <c r="U119" s="28">
        <f t="shared" si="39"/>
        <v>15060200.196583968</v>
      </c>
      <c r="V119" s="126">
        <f t="shared" si="40"/>
        <v>9404464.4320553411</v>
      </c>
      <c r="W119" s="126">
        <f t="shared" si="41"/>
        <v>5655735.7645286266</v>
      </c>
      <c r="X119" s="23">
        <f t="shared" si="42"/>
        <v>692769.20904286252</v>
      </c>
      <c r="Y119" s="126">
        <f t="shared" si="43"/>
        <v>4962966.5554857645</v>
      </c>
      <c r="Z119" s="14"/>
      <c r="AA119" s="63">
        <f t="shared" si="31"/>
        <v>0</v>
      </c>
      <c r="AB119" s="96">
        <f t="shared" si="32"/>
        <v>1707473.1549099581</v>
      </c>
      <c r="AC119" s="96">
        <f t="shared" si="49"/>
        <v>3255493.4005758064</v>
      </c>
      <c r="AD119" s="96">
        <f t="shared" si="45"/>
        <v>1171977.6242072904</v>
      </c>
      <c r="AE119" s="96">
        <f t="shared" si="46"/>
        <v>3790988.9312784742</v>
      </c>
      <c r="AF119" s="97">
        <f t="shared" si="33"/>
        <v>660738.34619175992</v>
      </c>
    </row>
    <row r="120" spans="2:32" x14ac:dyDescent="0.3">
      <c r="B120" s="90">
        <v>14</v>
      </c>
      <c r="C120" s="98">
        <f t="shared" si="48"/>
        <v>546181.33982510003</v>
      </c>
      <c r="D120" s="91">
        <f t="shared" si="47"/>
        <v>0.8650000000000001</v>
      </c>
      <c r="E120" s="90">
        <f t="shared" si="24"/>
        <v>3499606.3625830514</v>
      </c>
      <c r="F120" s="99">
        <f t="shared" si="34"/>
        <v>273090.66991255002</v>
      </c>
      <c r="G120" s="96">
        <f t="shared" si="35"/>
        <v>819272.00973765005</v>
      </c>
      <c r="H120" s="96">
        <f t="shared" si="36"/>
        <v>32770880.389506001</v>
      </c>
      <c r="I120" s="93">
        <f t="shared" si="25"/>
        <v>33590152.399243653</v>
      </c>
      <c r="J120" s="14">
        <f t="shared" si="37"/>
        <v>6718030.4798487276</v>
      </c>
      <c r="K120" s="94">
        <f t="shared" si="26"/>
        <v>26872121.919394925</v>
      </c>
      <c r="L120" s="63">
        <f t="shared" si="27"/>
        <v>3000000</v>
      </c>
      <c r="M120" s="95">
        <f t="shared" si="21"/>
        <v>12248622.26904068</v>
      </c>
      <c r="N120" s="95">
        <f t="shared" si="22"/>
        <v>2184725.3593004001</v>
      </c>
      <c r="O120" s="95">
        <f t="shared" si="23"/>
        <v>122890.8014606475</v>
      </c>
      <c r="P120" s="118">
        <f t="shared" si="28"/>
        <v>17556238.429801725</v>
      </c>
      <c r="Q120" s="118">
        <f t="shared" si="29"/>
        <v>9315883.4895932004</v>
      </c>
      <c r="R120" s="120"/>
      <c r="S120" s="119">
        <f t="shared" si="30"/>
        <v>8079765.8813010342</v>
      </c>
      <c r="T120" s="121">
        <f t="shared" si="38"/>
        <v>17.056392832051646</v>
      </c>
      <c r="U120" s="28">
        <f t="shared" si="39"/>
        <v>13704782.178891413</v>
      </c>
      <c r="V120" s="126">
        <f t="shared" si="40"/>
        <v>8953681.5991988797</v>
      </c>
      <c r="W120" s="126">
        <f t="shared" si="41"/>
        <v>4751100.5796925323</v>
      </c>
      <c r="X120" s="23">
        <f t="shared" si="42"/>
        <v>630419.98022900498</v>
      </c>
      <c r="Y120" s="126">
        <f t="shared" si="43"/>
        <v>4120680.599463528</v>
      </c>
      <c r="Z120" s="14"/>
      <c r="AA120" s="63">
        <f t="shared" si="31"/>
        <v>0</v>
      </c>
      <c r="AB120" s="96">
        <f t="shared" si="32"/>
        <v>1553800.5709680619</v>
      </c>
      <c r="AC120" s="96">
        <f t="shared" si="49"/>
        <v>2566880.0284954663</v>
      </c>
      <c r="AD120" s="96">
        <f t="shared" si="45"/>
        <v>924076.8102583678</v>
      </c>
      <c r="AE120" s="96">
        <f t="shared" si="46"/>
        <v>3196603.78920516</v>
      </c>
      <c r="AF120" s="97">
        <f t="shared" si="33"/>
        <v>484471.20020140451</v>
      </c>
    </row>
    <row r="121" spans="2:32" x14ac:dyDescent="0.3">
      <c r="B121" s="90">
        <v>15</v>
      </c>
      <c r="C121" s="98">
        <f t="shared" si="48"/>
        <v>497025.01924084104</v>
      </c>
      <c r="D121" s="91">
        <f t="shared" si="47"/>
        <v>0.87000000000000011</v>
      </c>
      <c r="E121" s="90">
        <f t="shared" si="24"/>
        <v>3326244.3595348625</v>
      </c>
      <c r="F121" s="99">
        <f t="shared" si="34"/>
        <v>248512.50962042052</v>
      </c>
      <c r="G121" s="96">
        <f t="shared" si="35"/>
        <v>745537.52886126155</v>
      </c>
      <c r="H121" s="96">
        <f t="shared" si="36"/>
        <v>29821501.154450461</v>
      </c>
      <c r="I121" s="93">
        <f t="shared" si="25"/>
        <v>30567038.683311723</v>
      </c>
      <c r="J121" s="14">
        <f t="shared" si="37"/>
        <v>6113407.7366623431</v>
      </c>
      <c r="K121" s="94">
        <f t="shared" si="26"/>
        <v>24453630.94664938</v>
      </c>
      <c r="L121" s="63">
        <f t="shared" si="27"/>
        <v>3000000</v>
      </c>
      <c r="M121" s="95">
        <f t="shared" si="21"/>
        <v>11641855.258372018</v>
      </c>
      <c r="N121" s="95">
        <f t="shared" si="22"/>
        <v>1988100.0769633641</v>
      </c>
      <c r="O121" s="95">
        <f t="shared" si="23"/>
        <v>111830.62932918924</v>
      </c>
      <c r="P121" s="118">
        <f t="shared" si="28"/>
        <v>16741785.964664571</v>
      </c>
      <c r="Q121" s="118">
        <f t="shared" si="29"/>
        <v>7711844.981984809</v>
      </c>
      <c r="R121" s="120"/>
      <c r="S121" s="119">
        <f t="shared" si="30"/>
        <v>6586977.9584389376</v>
      </c>
      <c r="T121" s="121">
        <f t="shared" si="38"/>
        <v>15.516009624151168</v>
      </c>
      <c r="U121" s="28">
        <f t="shared" si="39"/>
        <v>12471351.782791184</v>
      </c>
      <c r="V121" s="126">
        <f t="shared" si="40"/>
        <v>8538310.8419789318</v>
      </c>
      <c r="W121" s="126">
        <f t="shared" si="41"/>
        <v>3933040.9408122525</v>
      </c>
      <c r="X121" s="23">
        <f t="shared" si="42"/>
        <v>573682.18200839451</v>
      </c>
      <c r="Y121" s="126">
        <f t="shared" si="43"/>
        <v>3359358.758803858</v>
      </c>
      <c r="Z121" s="14"/>
      <c r="AA121" s="63">
        <f t="shared" si="31"/>
        <v>0</v>
      </c>
      <c r="AB121" s="96">
        <f t="shared" si="32"/>
        <v>1413958.5195809365</v>
      </c>
      <c r="AC121" s="96">
        <f t="shared" si="49"/>
        <v>1945400.2392229214</v>
      </c>
      <c r="AD121" s="96">
        <f t="shared" si="45"/>
        <v>700344.08612025168</v>
      </c>
      <c r="AE121" s="96">
        <f t="shared" si="46"/>
        <v>2659014.6726836064</v>
      </c>
      <c r="AF121" s="97">
        <f t="shared" si="33"/>
        <v>350430.62133860309</v>
      </c>
    </row>
    <row r="122" spans="2:32" x14ac:dyDescent="0.3">
      <c r="B122" s="90">
        <v>16</v>
      </c>
      <c r="C122" s="98">
        <f t="shared" si="48"/>
        <v>452292.76750916534</v>
      </c>
      <c r="D122" s="91">
        <f t="shared" si="47"/>
        <v>0.87500000000000011</v>
      </c>
      <c r="E122" s="90">
        <f t="shared" si="24"/>
        <v>3166049.3725641607</v>
      </c>
      <c r="F122" s="99">
        <f t="shared" si="34"/>
        <v>226146.38375458267</v>
      </c>
      <c r="G122" s="96">
        <f t="shared" si="35"/>
        <v>678439.15126374806</v>
      </c>
      <c r="H122" s="96">
        <f t="shared" si="36"/>
        <v>27137566.050549921</v>
      </c>
      <c r="I122" s="93">
        <f t="shared" si="25"/>
        <v>27816005.201813668</v>
      </c>
      <c r="J122" s="14">
        <f t="shared" si="37"/>
        <v>5563201.0403627306</v>
      </c>
      <c r="K122" s="94">
        <f t="shared" si="26"/>
        <v>22252804.161450937</v>
      </c>
      <c r="L122" s="63">
        <f t="shared" si="27"/>
        <v>3000000</v>
      </c>
      <c r="M122" s="95">
        <f t="shared" si="21"/>
        <v>11081172.803974563</v>
      </c>
      <c r="N122" s="95">
        <f t="shared" si="22"/>
        <v>1809171.0700366613</v>
      </c>
      <c r="O122" s="95">
        <f t="shared" si="23"/>
        <v>101765.87268956221</v>
      </c>
      <c r="P122" s="118">
        <f t="shared" si="28"/>
        <v>15992109.746700786</v>
      </c>
      <c r="Q122" s="118">
        <f t="shared" si="29"/>
        <v>6260694.4147501513</v>
      </c>
      <c r="R122" s="120"/>
      <c r="S122" s="119">
        <f t="shared" si="30"/>
        <v>5237065.4233234078</v>
      </c>
      <c r="T122" s="121">
        <f t="shared" si="38"/>
        <v>13.842128073877024</v>
      </c>
      <c r="U122" s="28">
        <f t="shared" si="39"/>
        <v>11348930.122339979</v>
      </c>
      <c r="V122" s="126">
        <f t="shared" si="40"/>
        <v>8155975.9708174011</v>
      </c>
      <c r="W122" s="126">
        <f t="shared" si="41"/>
        <v>3192954.1515225773</v>
      </c>
      <c r="X122" s="23">
        <f t="shared" si="42"/>
        <v>522050.78562763904</v>
      </c>
      <c r="Y122" s="126">
        <f t="shared" si="43"/>
        <v>2670903.3658949388</v>
      </c>
      <c r="Z122" s="14"/>
      <c r="AA122" s="63">
        <f t="shared" si="31"/>
        <v>0</v>
      </c>
      <c r="AB122" s="96">
        <f t="shared" si="32"/>
        <v>1286702.2528186522</v>
      </c>
      <c r="AC122" s="96">
        <f t="shared" si="49"/>
        <v>1384201.1130762866</v>
      </c>
      <c r="AD122" s="96">
        <f t="shared" si="45"/>
        <v>498312.40070746315</v>
      </c>
      <c r="AE122" s="96">
        <f t="shared" si="46"/>
        <v>2172590.9651874756</v>
      </c>
      <c r="AF122" s="97">
        <f t="shared" si="33"/>
        <v>248978.26927056821</v>
      </c>
    </row>
    <row r="123" spans="2:32" x14ac:dyDescent="0.3">
      <c r="B123" s="90">
        <v>17</v>
      </c>
      <c r="C123" s="98">
        <f t="shared" si="48"/>
        <v>411586.4184333405</v>
      </c>
      <c r="D123" s="91">
        <f t="shared" si="47"/>
        <v>0.88000000000000012</v>
      </c>
      <c r="E123" s="90">
        <f t="shared" si="24"/>
        <v>3018300.4018445006</v>
      </c>
      <c r="F123" s="99">
        <f t="shared" si="34"/>
        <v>205793.20921667025</v>
      </c>
      <c r="G123" s="96">
        <f t="shared" si="35"/>
        <v>617379.62765001075</v>
      </c>
      <c r="H123" s="96">
        <f t="shared" si="36"/>
        <v>24695185.106000431</v>
      </c>
      <c r="I123" s="93">
        <f t="shared" si="25"/>
        <v>25312564.733650442</v>
      </c>
      <c r="J123" s="14">
        <f t="shared" si="37"/>
        <v>5062512.9467300884</v>
      </c>
      <c r="K123" s="94">
        <f t="shared" si="26"/>
        <v>20250051.786920354</v>
      </c>
      <c r="L123" s="63">
        <f t="shared" si="27"/>
        <v>3000000</v>
      </c>
      <c r="M123" s="95">
        <f t="shared" si="21"/>
        <v>10564051.406455752</v>
      </c>
      <c r="N123" s="95">
        <f t="shared" si="22"/>
        <v>1646345.673733362</v>
      </c>
      <c r="O123" s="95">
        <f t="shared" si="23"/>
        <v>92606.944147501621</v>
      </c>
      <c r="P123" s="118">
        <f t="shared" si="28"/>
        <v>15303004.024336614</v>
      </c>
      <c r="Q123" s="118">
        <f t="shared" si="29"/>
        <v>4947047.7625837401</v>
      </c>
      <c r="R123" s="120"/>
      <c r="S123" s="119">
        <f t="shared" si="30"/>
        <v>4015545.3803854035</v>
      </c>
      <c r="T123" s="121">
        <f t="shared" si="38"/>
        <v>12.019463084846546</v>
      </c>
      <c r="U123" s="28">
        <f t="shared" si="39"/>
        <v>10327526.411329381</v>
      </c>
      <c r="V123" s="126">
        <f t="shared" si="40"/>
        <v>7804532.0524116736</v>
      </c>
      <c r="W123" s="126">
        <f t="shared" si="41"/>
        <v>2522994.3589177076</v>
      </c>
      <c r="X123" s="23">
        <f t="shared" si="42"/>
        <v>475066.21492115152</v>
      </c>
      <c r="Y123" s="126">
        <f t="shared" si="43"/>
        <v>2047928.1439965561</v>
      </c>
      <c r="Z123" s="14"/>
      <c r="AA123" s="63">
        <f t="shared" si="31"/>
        <v>0</v>
      </c>
      <c r="AB123" s="96">
        <f t="shared" si="32"/>
        <v>1170899.0500649735</v>
      </c>
      <c r="AC123" s="96">
        <f t="shared" si="49"/>
        <v>877029.09393158252</v>
      </c>
      <c r="AD123" s="96">
        <f t="shared" si="45"/>
        <v>315730.47381536971</v>
      </c>
      <c r="AE123" s="96">
        <f t="shared" si="46"/>
        <v>1732197.6701811864</v>
      </c>
      <c r="AF123" s="97">
        <f t="shared" si="33"/>
        <v>172616.80913303953</v>
      </c>
    </row>
    <row r="124" spans="2:32" x14ac:dyDescent="0.3">
      <c r="B124" s="90">
        <v>18</v>
      </c>
      <c r="C124" s="98">
        <f t="shared" si="48"/>
        <v>374543.64077433984</v>
      </c>
      <c r="D124" s="91">
        <f t="shared" si="47"/>
        <v>0.88500000000000012</v>
      </c>
      <c r="E124" s="90">
        <f t="shared" si="24"/>
        <v>2882357.5833503576</v>
      </c>
      <c r="F124" s="99">
        <f t="shared" si="34"/>
        <v>187271.82038716992</v>
      </c>
      <c r="G124" s="96">
        <f t="shared" si="35"/>
        <v>561815.46116150974</v>
      </c>
      <c r="H124" s="96">
        <f t="shared" si="36"/>
        <v>22472618.446460392</v>
      </c>
      <c r="I124" s="93">
        <f t="shared" si="25"/>
        <v>23034433.907621901</v>
      </c>
      <c r="J124" s="14">
        <f t="shared" si="37"/>
        <v>4606886.7815243788</v>
      </c>
      <c r="K124" s="94">
        <f t="shared" si="26"/>
        <v>18427547.126097523</v>
      </c>
      <c r="L124" s="63">
        <f t="shared" si="27"/>
        <v>3000000</v>
      </c>
      <c r="M124" s="95">
        <f t="shared" si="21"/>
        <v>10088251.541726252</v>
      </c>
      <c r="N124" s="95">
        <f t="shared" si="22"/>
        <v>1498174.5630973594</v>
      </c>
      <c r="O124" s="95">
        <f t="shared" si="23"/>
        <v>84272.319174226461</v>
      </c>
      <c r="P124" s="118">
        <f t="shared" si="28"/>
        <v>14670698.423997838</v>
      </c>
      <c r="Q124" s="118">
        <f t="shared" si="29"/>
        <v>3756848.7020996846</v>
      </c>
      <c r="R124" s="120"/>
      <c r="S124" s="119">
        <f t="shared" si="30"/>
        <v>2909181.5342991985</v>
      </c>
      <c r="T124" s="121">
        <f t="shared" si="38"/>
        <v>10.030469865494691</v>
      </c>
      <c r="U124" s="28">
        <f t="shared" si="39"/>
        <v>9398049.0343097374</v>
      </c>
      <c r="V124" s="126">
        <f t="shared" si="40"/>
        <v>7482056.1962388977</v>
      </c>
      <c r="W124" s="126">
        <f t="shared" si="41"/>
        <v>1915992.8380708392</v>
      </c>
      <c r="X124" s="23">
        <f t="shared" si="42"/>
        <v>432310.25557824789</v>
      </c>
      <c r="Y124" s="126">
        <f t="shared" si="43"/>
        <v>1483682.5824925918</v>
      </c>
      <c r="Z124" s="14"/>
      <c r="AA124" s="63">
        <f t="shared" si="31"/>
        <v>0</v>
      </c>
      <c r="AB124" s="96">
        <f t="shared" si="32"/>
        <v>1065518.1355591258</v>
      </c>
      <c r="AC124" s="96">
        <f t="shared" si="49"/>
        <v>418164.44693346601</v>
      </c>
      <c r="AD124" s="96">
        <f t="shared" si="45"/>
        <v>150539.20089604775</v>
      </c>
      <c r="AE124" s="96">
        <f t="shared" si="46"/>
        <v>1333143.3815965441</v>
      </c>
      <c r="AF124" s="97">
        <f t="shared" si="33"/>
        <v>115521.98820556025</v>
      </c>
    </row>
    <row r="125" spans="2:32" x14ac:dyDescent="0.3">
      <c r="B125" s="90">
        <v>19</v>
      </c>
      <c r="C125" s="98">
        <f t="shared" si="48"/>
        <v>340834.71310464927</v>
      </c>
      <c r="D125" s="91">
        <f t="shared" si="47"/>
        <v>0.89000000000000012</v>
      </c>
      <c r="E125" s="90">
        <f t="shared" si="24"/>
        <v>2757662.6787558021</v>
      </c>
      <c r="F125" s="99">
        <f t="shared" si="34"/>
        <v>170417.35655232464</v>
      </c>
      <c r="G125" s="96">
        <f t="shared" si="35"/>
        <v>511252.06965697394</v>
      </c>
      <c r="H125" s="96">
        <f t="shared" si="36"/>
        <v>20450082.786278956</v>
      </c>
      <c r="I125" s="93">
        <f t="shared" si="25"/>
        <v>20961334.855935931</v>
      </c>
      <c r="J125" s="14">
        <f t="shared" si="37"/>
        <v>4192266.9711871855</v>
      </c>
      <c r="K125" s="94">
        <f t="shared" si="26"/>
        <v>16769067.884748746</v>
      </c>
      <c r="L125" s="63">
        <f t="shared" si="27"/>
        <v>3000000</v>
      </c>
      <c r="M125" s="95">
        <f t="shared" si="21"/>
        <v>9651819.3756453078</v>
      </c>
      <c r="N125" s="95">
        <f t="shared" si="22"/>
        <v>1363338.8524185971</v>
      </c>
      <c r="O125" s="95">
        <f t="shared" si="23"/>
        <v>76687.810448546094</v>
      </c>
      <c r="P125" s="118">
        <f t="shared" si="28"/>
        <v>14091846.038512452</v>
      </c>
      <c r="Q125" s="118">
        <f t="shared" si="29"/>
        <v>2677221.8462362941</v>
      </c>
      <c r="R125" s="120"/>
      <c r="S125" s="119">
        <f t="shared" si="30"/>
        <v>1905844.7235378518</v>
      </c>
      <c r="T125" s="121">
        <f t="shared" si="38"/>
        <v>7.8548978237855858</v>
      </c>
      <c r="U125" s="28">
        <f t="shared" si="39"/>
        <v>8552224.6212218609</v>
      </c>
      <c r="V125" s="126">
        <f t="shared" si="40"/>
        <v>7186841.47964135</v>
      </c>
      <c r="W125" s="126">
        <f t="shared" si="41"/>
        <v>1365383.14158051</v>
      </c>
      <c r="X125" s="23">
        <f t="shared" si="42"/>
        <v>393402.3325762056</v>
      </c>
      <c r="Y125" s="126">
        <f t="shared" si="43"/>
        <v>971980.80900430528</v>
      </c>
      <c r="Z125" s="14"/>
      <c r="AA125" s="63">
        <f t="shared" si="31"/>
        <v>0</v>
      </c>
      <c r="AB125" s="96">
        <f t="shared" si="32"/>
        <v>969621.50335880462</v>
      </c>
      <c r="AC125" s="96">
        <f t="shared" si="49"/>
        <v>2359.305645500659</v>
      </c>
      <c r="AD125" s="96">
        <f t="shared" si="45"/>
        <v>849.35003238023717</v>
      </c>
      <c r="AE125" s="96">
        <f t="shared" si="46"/>
        <v>971131.45897192508</v>
      </c>
      <c r="AF125" s="97">
        <f t="shared" si="33"/>
        <v>73175.883794709051</v>
      </c>
    </row>
    <row r="126" spans="2:32" x14ac:dyDescent="0.3">
      <c r="B126" s="90">
        <v>20</v>
      </c>
      <c r="C126" s="98">
        <f t="shared" si="48"/>
        <v>310159.58892523084</v>
      </c>
      <c r="D126" s="91">
        <f t="shared" si="47"/>
        <v>0.89500000000000013</v>
      </c>
      <c r="E126" s="90">
        <f t="shared" si="24"/>
        <v>2643741.257981733</v>
      </c>
      <c r="F126" s="99">
        <f t="shared" si="34"/>
        <v>155079.79446261542</v>
      </c>
      <c r="G126" s="96">
        <f t="shared" si="35"/>
        <v>465239.38338784629</v>
      </c>
      <c r="H126" s="96">
        <f t="shared" si="36"/>
        <v>18609575.335513849</v>
      </c>
      <c r="I126" s="93">
        <f t="shared" si="25"/>
        <v>19074814.718901694</v>
      </c>
      <c r="J126" s="14">
        <f t="shared" si="37"/>
        <v>3814962.9437803384</v>
      </c>
      <c r="K126" s="94">
        <f t="shared" si="26"/>
        <v>15259851.775121355</v>
      </c>
      <c r="L126" s="63">
        <f t="shared" si="27"/>
        <v>3000000</v>
      </c>
      <c r="M126" s="95">
        <f t="shared" si="21"/>
        <v>9253094.4029360656</v>
      </c>
      <c r="N126" s="95">
        <f t="shared" si="22"/>
        <v>1240638.3557009234</v>
      </c>
      <c r="O126" s="95">
        <f t="shared" si="23"/>
        <v>69785.907508176941</v>
      </c>
      <c r="P126" s="118">
        <f t="shared" si="28"/>
        <v>13563518.666145166</v>
      </c>
      <c r="Q126" s="118">
        <f t="shared" si="29"/>
        <v>1696333.108976189</v>
      </c>
      <c r="R126" s="120"/>
      <c r="S126" s="119">
        <f t="shared" si="30"/>
        <v>994379.92732060666</v>
      </c>
      <c r="T126" s="121">
        <f t="shared" si="38"/>
        <v>5.4692267127846836</v>
      </c>
      <c r="U126" s="28">
        <f t="shared" si="39"/>
        <v>7782524.4053118918</v>
      </c>
      <c r="V126" s="126">
        <f t="shared" si="40"/>
        <v>6917394.5197340352</v>
      </c>
      <c r="W126" s="126">
        <f t="shared" si="41"/>
        <v>865129.88557785645</v>
      </c>
      <c r="X126" s="23">
        <f t="shared" si="42"/>
        <v>357996.12264434702</v>
      </c>
      <c r="Y126" s="126">
        <f t="shared" si="43"/>
        <v>507133.76293350954</v>
      </c>
      <c r="Z126" s="14"/>
      <c r="AA126" s="63">
        <f t="shared" si="31"/>
        <v>0</v>
      </c>
      <c r="AB126" s="96">
        <f t="shared" si="32"/>
        <v>882355.56805651227</v>
      </c>
      <c r="AC126" s="96">
        <f t="shared" si="49"/>
        <v>-375221.80512300273</v>
      </c>
      <c r="AD126" s="96">
        <f t="shared" si="45"/>
        <v>-135079.84984428098</v>
      </c>
      <c r="AE126" s="96">
        <f t="shared" si="46"/>
        <v>642213.61277779052</v>
      </c>
      <c r="AF126" s="97">
        <f t="shared" si="33"/>
        <v>42079.601663599249</v>
      </c>
    </row>
    <row r="127" spans="2:32" x14ac:dyDescent="0.3">
      <c r="B127" s="90">
        <v>21</v>
      </c>
      <c r="C127" s="98">
        <f t="shared" si="48"/>
        <v>282245.22592196008</v>
      </c>
      <c r="D127" s="91">
        <f t="shared" si="47"/>
        <v>0.90000000000000013</v>
      </c>
      <c r="E127" s="90">
        <f t="shared" si="24"/>
        <v>2540207.0332976445</v>
      </c>
      <c r="F127" s="99">
        <f t="shared" si="34"/>
        <v>141122.61296098004</v>
      </c>
      <c r="G127" s="96">
        <f t="shared" si="35"/>
        <v>423367.83888294012</v>
      </c>
      <c r="H127" s="96">
        <f t="shared" si="36"/>
        <v>16934713.555317603</v>
      </c>
      <c r="I127" s="93">
        <f t="shared" si="25"/>
        <v>17358081.394200545</v>
      </c>
      <c r="J127" s="14">
        <f t="shared" si="37"/>
        <v>3471616.2788401078</v>
      </c>
      <c r="K127" s="94">
        <f t="shared" si="26"/>
        <v>13886465.115360437</v>
      </c>
      <c r="L127" s="63">
        <f t="shared" si="27"/>
        <v>3000000</v>
      </c>
      <c r="M127" s="95">
        <f t="shared" si="21"/>
        <v>8890724.6165417563</v>
      </c>
      <c r="N127" s="95">
        <f t="shared" si="22"/>
        <v>1128980.9036878403</v>
      </c>
      <c r="O127" s="95">
        <f t="shared" si="23"/>
        <v>63505.175832441018</v>
      </c>
      <c r="P127" s="118">
        <f t="shared" si="28"/>
        <v>13083210.696062038</v>
      </c>
      <c r="Q127" s="118">
        <f t="shared" si="29"/>
        <v>803254.41929839924</v>
      </c>
      <c r="R127" s="120"/>
      <c r="S127" s="119">
        <f t="shared" si="30"/>
        <v>164477.02399181912</v>
      </c>
      <c r="T127" s="121">
        <f t="shared" si="38"/>
        <v>2.8459451056242013</v>
      </c>
      <c r="U127" s="28">
        <f t="shared" si="39"/>
        <v>7082097.208833823</v>
      </c>
      <c r="V127" s="126">
        <f t="shared" si="40"/>
        <v>6672437.4549916396</v>
      </c>
      <c r="W127" s="126">
        <f t="shared" si="41"/>
        <v>409659.75384218362</v>
      </c>
      <c r="X127" s="23">
        <f t="shared" si="42"/>
        <v>325776.47160635586</v>
      </c>
      <c r="Y127" s="126">
        <f t="shared" si="43"/>
        <v>83883.28223582753</v>
      </c>
      <c r="Z127" s="14"/>
      <c r="AA127" s="63">
        <f t="shared" si="31"/>
        <v>0</v>
      </c>
      <c r="AB127" s="96">
        <f t="shared" si="32"/>
        <v>802943.56693142618</v>
      </c>
      <c r="AC127" s="96">
        <f t="shared" si="49"/>
        <v>-719060.28469559865</v>
      </c>
      <c r="AD127" s="96">
        <f t="shared" si="45"/>
        <v>-258861.70249041551</v>
      </c>
      <c r="AE127" s="96">
        <f t="shared" si="46"/>
        <v>342744.98472624307</v>
      </c>
      <c r="AF127" s="97">
        <f t="shared" si="33"/>
        <v>19528.342408897417</v>
      </c>
    </row>
    <row r="128" spans="2:32" x14ac:dyDescent="0.3">
      <c r="B128" s="105">
        <f ca="1">SUM(AF106:AF128)+((C152-22)*AF129)</f>
        <v>0</v>
      </c>
      <c r="C128" s="98">
        <f t="shared" si="48"/>
        <v>256843.15558898367</v>
      </c>
      <c r="D128" s="91">
        <f t="shared" si="47"/>
        <v>0.90500000000000014</v>
      </c>
      <c r="E128" s="90">
        <f t="shared" si="24"/>
        <v>2446769.0085055851</v>
      </c>
      <c r="F128" s="99">
        <f t="shared" si="34"/>
        <v>128421.57779449184</v>
      </c>
      <c r="G128" s="96">
        <f t="shared" si="35"/>
        <v>385264.73338347551</v>
      </c>
      <c r="H128" s="96">
        <f t="shared" si="36"/>
        <v>15410589.335339021</v>
      </c>
      <c r="I128" s="93">
        <f t="shared" si="25"/>
        <v>15795854.068722496</v>
      </c>
      <c r="J128" s="14">
        <f t="shared" si="37"/>
        <v>3159170.8137444984</v>
      </c>
      <c r="K128" s="94">
        <f t="shared" si="26"/>
        <v>12636683.254977997</v>
      </c>
      <c r="L128" s="63">
        <f t="shared" si="27"/>
        <v>3000000</v>
      </c>
      <c r="M128" s="95">
        <f t="shared" si="21"/>
        <v>8563691.5297695473</v>
      </c>
      <c r="N128" s="95">
        <f t="shared" si="22"/>
        <v>1027372.6223559347</v>
      </c>
      <c r="O128" s="95">
        <f t="shared" si="23"/>
        <v>57789.710007521331</v>
      </c>
      <c r="P128" s="118">
        <f t="shared" si="28"/>
        <v>12648853.862133004</v>
      </c>
      <c r="Q128" s="118">
        <f t="shared" si="29"/>
        <v>-12170.607155006379</v>
      </c>
      <c r="R128" s="120"/>
      <c r="S128" s="119">
        <f t="shared" si="30"/>
        <v>-593458.03688399424</v>
      </c>
      <c r="T128" s="121">
        <f t="shared" si="38"/>
        <v>-4.7385366867562312E-2</v>
      </c>
      <c r="U128" s="28">
        <f t="shared" si="39"/>
        <v>6444708.4600387784</v>
      </c>
      <c r="V128" s="126">
        <f t="shared" si="40"/>
        <v>6450915.4696878316</v>
      </c>
      <c r="W128" s="126">
        <f t="shared" si="41"/>
        <v>-6207.0096490532533</v>
      </c>
      <c r="X128" s="23">
        <f t="shared" si="42"/>
        <v>296456.58916178381</v>
      </c>
      <c r="Y128" s="126">
        <f t="shared" si="43"/>
        <v>-302663.59881083702</v>
      </c>
      <c r="Z128" s="14"/>
      <c r="AA128" s="63">
        <f t="shared" si="31"/>
        <v>0</v>
      </c>
      <c r="AB128" s="96">
        <f t="shared" si="32"/>
        <v>730678.64590759773</v>
      </c>
      <c r="AC128" s="96">
        <f t="shared" si="49"/>
        <v>-1033342.2447184348</v>
      </c>
      <c r="AD128" s="96">
        <f t="shared" si="45"/>
        <v>-372003.20809863647</v>
      </c>
      <c r="AE128" s="96">
        <f t="shared" si="46"/>
        <v>69339.609287799452</v>
      </c>
      <c r="AF128" s="97">
        <f t="shared" ca="1" si="33"/>
        <v>3435.4040442376468</v>
      </c>
    </row>
    <row r="129" spans="2:32" x14ac:dyDescent="0.3">
      <c r="B129" s="90">
        <v>23</v>
      </c>
      <c r="C129" s="98">
        <f t="shared" si="48"/>
        <v>233727.27158597516</v>
      </c>
      <c r="D129" s="91">
        <f t="shared" si="47"/>
        <v>0.91000000000000014</v>
      </c>
      <c r="E129" s="90">
        <f t="shared" si="24"/>
        <v>2363242.4127026419</v>
      </c>
      <c r="F129" s="99">
        <f t="shared" si="34"/>
        <v>116863.63579298758</v>
      </c>
      <c r="G129" s="96">
        <f t="shared" si="35"/>
        <v>350590.90737896273</v>
      </c>
      <c r="H129" s="96">
        <f t="shared" si="36"/>
        <v>14023636.295158509</v>
      </c>
      <c r="I129" s="93">
        <f t="shared" si="25"/>
        <v>14374227.202537471</v>
      </c>
      <c r="J129" s="14">
        <f t="shared" si="37"/>
        <v>2874845.4405074939</v>
      </c>
      <c r="K129" s="94">
        <f t="shared" si="26"/>
        <v>11499381.762029978</v>
      </c>
      <c r="L129" s="63">
        <f t="shared" si="27"/>
        <v>3000000</v>
      </c>
      <c r="M129" s="95">
        <f t="shared" si="21"/>
        <v>8271348.4444592465</v>
      </c>
      <c r="N129" s="95">
        <f t="shared" si="22"/>
        <v>934909.08634390065</v>
      </c>
      <c r="O129" s="95">
        <f t="shared" si="23"/>
        <v>52588.636106844409</v>
      </c>
      <c r="P129" s="118">
        <f t="shared" si="28"/>
        <v>12258846.166909993</v>
      </c>
      <c r="Q129" s="118">
        <f t="shared" si="29"/>
        <v>-759464.40488001518</v>
      </c>
      <c r="R129" s="120"/>
      <c r="S129" s="119">
        <f t="shared" si="30"/>
        <v>-1288435.9659333942</v>
      </c>
      <c r="T129" s="121">
        <f t="shared" si="38"/>
        <v>-3.2493615303280978</v>
      </c>
      <c r="U129" s="28">
        <f t="shared" si="39"/>
        <v>5864684.6986352885</v>
      </c>
      <c r="V129" s="126">
        <f t="shared" si="40"/>
        <v>6252011.5451240968</v>
      </c>
      <c r="W129" s="126">
        <f t="shared" si="41"/>
        <v>-387326.84648880776</v>
      </c>
      <c r="X129" s="23">
        <f t="shared" si="42"/>
        <v>269775.49613722326</v>
      </c>
      <c r="Y129" s="126">
        <f t="shared" si="43"/>
        <v>-657102.34262603149</v>
      </c>
      <c r="Z129" s="14"/>
      <c r="AA129" s="63">
        <f t="shared" si="31"/>
        <v>0</v>
      </c>
      <c r="AB129" s="96">
        <f t="shared" si="32"/>
        <v>664917.5677759141</v>
      </c>
      <c r="AC129" s="96">
        <f t="shared" si="49"/>
        <v>-1322019.9104019455</v>
      </c>
      <c r="AD129" s="96">
        <f t="shared" si="45"/>
        <v>-475927.16774470033</v>
      </c>
      <c r="AE129" s="96">
        <f t="shared" si="46"/>
        <v>-181175.17488133116</v>
      </c>
      <c r="AF129" s="97">
        <f t="shared" si="33"/>
        <v>-7805.438051123595</v>
      </c>
    </row>
    <row r="130" spans="2:32" x14ac:dyDescent="0.3">
      <c r="B130" s="90">
        <v>24</v>
      </c>
      <c r="C130" s="98">
        <f t="shared" si="48"/>
        <v>212691.81714323739</v>
      </c>
      <c r="D130" s="91">
        <f t="shared" si="47"/>
        <v>0.91500000000000015</v>
      </c>
      <c r="E130" s="90">
        <f t="shared" si="24"/>
        <v>2289564.8551301481</v>
      </c>
      <c r="F130" s="99">
        <f t="shared" si="34"/>
        <v>106345.9085716187</v>
      </c>
      <c r="G130" s="96">
        <f t="shared" si="35"/>
        <v>319037.72571485606</v>
      </c>
      <c r="H130" s="96">
        <f t="shared" si="36"/>
        <v>12761509.028594244</v>
      </c>
      <c r="I130" s="93">
        <f t="shared" si="25"/>
        <v>13080546.754309101</v>
      </c>
      <c r="J130" s="14">
        <f t="shared" si="37"/>
        <v>2616109.3508618195</v>
      </c>
      <c r="K130" s="94">
        <f t="shared" si="26"/>
        <v>10464437.403447282</v>
      </c>
      <c r="L130" s="63">
        <f t="shared" si="27"/>
        <v>3000000</v>
      </c>
      <c r="M130" s="95">
        <f t="shared" si="21"/>
        <v>8013476.9929555189</v>
      </c>
      <c r="N130" s="95">
        <f t="shared" si="22"/>
        <v>850767.26857294957</v>
      </c>
      <c r="O130" s="95">
        <f t="shared" si="23"/>
        <v>47855.658857228416</v>
      </c>
      <c r="P130" s="118">
        <f t="shared" si="28"/>
        <v>11912099.920385696</v>
      </c>
      <c r="Q130" s="118">
        <f t="shared" si="29"/>
        <v>-1447662.5169384144</v>
      </c>
      <c r="R130" s="120"/>
      <c r="S130" s="119">
        <f t="shared" si="30"/>
        <v>-1929026.6374969895</v>
      </c>
      <c r="T130" s="121">
        <f t="shared" si="38"/>
        <v>-6.8063855788278191</v>
      </c>
      <c r="U130" s="28">
        <f t="shared" si="39"/>
        <v>5336863.0757581135</v>
      </c>
      <c r="V130" s="126">
        <f t="shared" si="40"/>
        <v>6075170.959396705</v>
      </c>
      <c r="W130" s="126">
        <f t="shared" si="41"/>
        <v>-738307.88363859139</v>
      </c>
      <c r="X130" s="23">
        <f t="shared" si="42"/>
        <v>245495.70148487322</v>
      </c>
      <c r="Y130" s="126">
        <f t="shared" si="43"/>
        <v>-983803.5851234647</v>
      </c>
      <c r="Z130" s="14"/>
      <c r="AA130" s="63">
        <f t="shared" si="31"/>
        <v>0</v>
      </c>
      <c r="AB130" s="96">
        <f t="shared" si="32"/>
        <v>605074.98667608178</v>
      </c>
      <c r="AC130" s="96">
        <f t="shared" si="49"/>
        <v>-1588878.5717995465</v>
      </c>
      <c r="AD130" s="96">
        <f t="shared" si="45"/>
        <v>-571996.28584783676</v>
      </c>
      <c r="AE130" s="96">
        <f t="shared" si="46"/>
        <v>-411807.29927562794</v>
      </c>
      <c r="AF130" s="97">
        <f t="shared" si="33"/>
        <v>-15427.472889281371</v>
      </c>
    </row>
    <row r="131" spans="2:32" x14ac:dyDescent="0.3">
      <c r="B131" s="90">
        <v>25</v>
      </c>
      <c r="C131" s="98">
        <f t="shared" si="48"/>
        <v>193549.55360034603</v>
      </c>
      <c r="D131" s="91">
        <f t="shared" si="47"/>
        <v>0.92000000000000015</v>
      </c>
      <c r="E131" s="90">
        <f t="shared" si="24"/>
        <v>2225819.8664039839</v>
      </c>
      <c r="F131" s="99">
        <f t="shared" si="34"/>
        <v>96774.776800173015</v>
      </c>
      <c r="G131" s="96">
        <f t="shared" si="35"/>
        <v>290324.33040051907</v>
      </c>
      <c r="H131" s="96">
        <f t="shared" si="36"/>
        <v>11612973.216020761</v>
      </c>
      <c r="I131" s="93">
        <f t="shared" si="25"/>
        <v>11903297.54642128</v>
      </c>
      <c r="J131" s="14">
        <f t="shared" si="37"/>
        <v>2380659.509284256</v>
      </c>
      <c r="K131" s="94">
        <f t="shared" si="26"/>
        <v>9522638.0371370241</v>
      </c>
      <c r="L131" s="63">
        <f t="shared" si="27"/>
        <v>3000000</v>
      </c>
      <c r="M131" s="95">
        <f t="shared" si="21"/>
        <v>7790369.5324139437</v>
      </c>
      <c r="N131" s="95">
        <f t="shared" si="22"/>
        <v>774198.21440138412</v>
      </c>
      <c r="O131" s="95">
        <f t="shared" si="23"/>
        <v>43548.649560077858</v>
      </c>
      <c r="P131" s="118">
        <f t="shared" si="28"/>
        <v>11608116.396375407</v>
      </c>
      <c r="Q131" s="118">
        <f t="shared" si="29"/>
        <v>-2085478.3592383824</v>
      </c>
      <c r="R131" s="120"/>
      <c r="S131" s="119">
        <f t="shared" si="30"/>
        <v>-2523519.7089466853</v>
      </c>
      <c r="T131" s="121">
        <f t="shared" si="38"/>
        <v>-10.774906583068731</v>
      </c>
      <c r="U131" s="28">
        <f t="shared" si="39"/>
        <v>4856545.3989398824</v>
      </c>
      <c r="V131" s="126">
        <f t="shared" si="40"/>
        <v>5920139.362151457</v>
      </c>
      <c r="W131" s="126">
        <f t="shared" si="41"/>
        <v>-1063593.9632115751</v>
      </c>
      <c r="X131" s="23">
        <f t="shared" si="42"/>
        <v>223401.08835123459</v>
      </c>
      <c r="Y131" s="126">
        <f t="shared" si="43"/>
        <v>-1286995.0515628092</v>
      </c>
      <c r="Z131" s="14"/>
      <c r="AA131" s="63">
        <f t="shared" si="31"/>
        <v>0</v>
      </c>
      <c r="AB131" s="96">
        <f t="shared" si="32"/>
        <v>550618.23787523445</v>
      </c>
      <c r="AC131" s="96">
        <f t="shared" si="49"/>
        <v>-1837613.2894380437</v>
      </c>
      <c r="AD131" s="96">
        <f t="shared" si="45"/>
        <v>-661540.78419769567</v>
      </c>
      <c r="AE131" s="96">
        <f t="shared" si="46"/>
        <v>-625454.26736511348</v>
      </c>
      <c r="AF131" s="97">
        <f t="shared" si="33"/>
        <v>-20375.040061178479</v>
      </c>
    </row>
    <row r="132" spans="2:32" x14ac:dyDescent="0.3">
      <c r="B132" s="90">
        <v>26</v>
      </c>
      <c r="C132" s="98">
        <f t="shared" si="48"/>
        <v>176130.0937763149</v>
      </c>
      <c r="D132" s="91">
        <f t="shared" si="47"/>
        <v>0.92500000000000016</v>
      </c>
      <c r="E132" s="90">
        <f t="shared" si="24"/>
        <v>2172271.1565745557</v>
      </c>
      <c r="F132" s="99">
        <f t="shared" si="34"/>
        <v>88065.046888157449</v>
      </c>
      <c r="G132" s="96">
        <f t="shared" si="35"/>
        <v>264195.14066447236</v>
      </c>
      <c r="H132" s="96">
        <f t="shared" si="36"/>
        <v>10567805.626578894</v>
      </c>
      <c r="I132" s="93">
        <f t="shared" si="25"/>
        <v>10832000.767243367</v>
      </c>
      <c r="J132" s="14">
        <f t="shared" si="37"/>
        <v>2166400.153448673</v>
      </c>
      <c r="K132" s="94">
        <f t="shared" si="26"/>
        <v>8665600.6137946937</v>
      </c>
      <c r="L132" s="63">
        <f t="shared" si="27"/>
        <v>3000000</v>
      </c>
      <c r="M132" s="95">
        <f t="shared" si="21"/>
        <v>7602949.0480109453</v>
      </c>
      <c r="N132" s="95">
        <f t="shared" si="22"/>
        <v>704520.37510525959</v>
      </c>
      <c r="O132" s="95">
        <f t="shared" si="23"/>
        <v>39629.271099670856</v>
      </c>
      <c r="P132" s="118">
        <f t="shared" si="28"/>
        <v>11347098.694215877</v>
      </c>
      <c r="Q132" s="118">
        <f t="shared" si="29"/>
        <v>-2681498.0804211833</v>
      </c>
      <c r="R132" s="120"/>
      <c r="S132" s="119">
        <f t="shared" si="30"/>
        <v>-3080115.7086557392</v>
      </c>
      <c r="T132" s="121">
        <f t="shared" si="38"/>
        <v>-15.22453104366528</v>
      </c>
      <c r="U132" s="28">
        <f t="shared" si="39"/>
        <v>4419456.3130352935</v>
      </c>
      <c r="V132" s="126">
        <f t="shared" si="40"/>
        <v>5787020.3340500975</v>
      </c>
      <c r="W132" s="126">
        <f t="shared" si="41"/>
        <v>-1367564.0210148036</v>
      </c>
      <c r="X132" s="23">
        <f t="shared" si="42"/>
        <v>203294.99039962349</v>
      </c>
      <c r="Y132" s="126">
        <f t="shared" si="43"/>
        <v>-1570859.0114144275</v>
      </c>
      <c r="Z132" s="14"/>
      <c r="AA132" s="63">
        <f t="shared" si="31"/>
        <v>0</v>
      </c>
      <c r="AB132" s="96">
        <f t="shared" si="32"/>
        <v>501062.59646646335</v>
      </c>
      <c r="AC132" s="96">
        <f t="shared" si="49"/>
        <v>-2071921.6078808908</v>
      </c>
      <c r="AD132" s="96">
        <f t="shared" si="45"/>
        <v>-745891.77883712063</v>
      </c>
      <c r="AE132" s="96">
        <f t="shared" si="46"/>
        <v>-824967.23257730692</v>
      </c>
      <c r="AF132" s="97">
        <f t="shared" si="33"/>
        <v>-23369.088315300127</v>
      </c>
    </row>
    <row r="133" spans="2:32" x14ac:dyDescent="0.3">
      <c r="B133" s="90">
        <v>27</v>
      </c>
      <c r="C133" s="98">
        <f t="shared" si="48"/>
        <v>160278.38533644658</v>
      </c>
      <c r="D133" s="91">
        <f t="shared" si="47"/>
        <v>0.93000000000000016</v>
      </c>
      <c r="E133" s="90">
        <f t="shared" si="24"/>
        <v>2129412.8337556524</v>
      </c>
      <c r="F133" s="99">
        <f t="shared" si="34"/>
        <v>80139.192668223288</v>
      </c>
      <c r="G133" s="96">
        <f t="shared" si="35"/>
        <v>240417.57800466986</v>
      </c>
      <c r="H133" s="96">
        <f t="shared" si="36"/>
        <v>9616703.1201867945</v>
      </c>
      <c r="I133" s="93">
        <f t="shared" si="25"/>
        <v>9857120.6981914639</v>
      </c>
      <c r="J133" s="14">
        <f t="shared" si="37"/>
        <v>1971424.1396382926</v>
      </c>
      <c r="K133" s="94">
        <f t="shared" si="26"/>
        <v>7885696.5585531713</v>
      </c>
      <c r="L133" s="63">
        <f t="shared" si="27"/>
        <v>3000000</v>
      </c>
      <c r="M133" s="95">
        <f t="shared" si="21"/>
        <v>7452944.918144783</v>
      </c>
      <c r="N133" s="95">
        <f t="shared" si="22"/>
        <v>641113.5413457863</v>
      </c>
      <c r="O133" s="95">
        <f t="shared" si="23"/>
        <v>36062.636700700481</v>
      </c>
      <c r="P133" s="118">
        <f t="shared" si="28"/>
        <v>11130121.09619127</v>
      </c>
      <c r="Q133" s="118">
        <f t="shared" si="29"/>
        <v>-3244424.5376380989</v>
      </c>
      <c r="R133" s="120"/>
      <c r="S133" s="119">
        <f t="shared" si="30"/>
        <v>-3607166.5793315447</v>
      </c>
      <c r="T133" s="121">
        <f t="shared" si="38"/>
        <v>-20.242433381317149</v>
      </c>
      <c r="U133" s="28">
        <f t="shared" si="39"/>
        <v>4021705.2448621173</v>
      </c>
      <c r="V133" s="126">
        <f t="shared" si="40"/>
        <v>5676361.7590575479</v>
      </c>
      <c r="W133" s="126">
        <f t="shared" si="41"/>
        <v>-1654656.5141954306</v>
      </c>
      <c r="X133" s="23">
        <f t="shared" si="42"/>
        <v>184998.44126365738</v>
      </c>
      <c r="Y133" s="126">
        <f t="shared" si="43"/>
        <v>-1839654.9554590879</v>
      </c>
      <c r="Z133" s="14"/>
      <c r="AA133" s="63">
        <f t="shared" si="31"/>
        <v>0</v>
      </c>
      <c r="AB133" s="96">
        <f t="shared" si="32"/>
        <v>455966.9627844817</v>
      </c>
      <c r="AC133" s="96">
        <f t="shared" si="49"/>
        <v>-2295621.9182435693</v>
      </c>
      <c r="AD133" s="96">
        <f t="shared" si="45"/>
        <v>-826423.8905676849</v>
      </c>
      <c r="AE133" s="96">
        <f t="shared" si="46"/>
        <v>-1013231.064891403</v>
      </c>
      <c r="AF133" s="97">
        <f t="shared" si="33"/>
        <v>-24958.341747421982</v>
      </c>
    </row>
    <row r="134" spans="2:32" x14ac:dyDescent="0.3">
      <c r="B134" s="90">
        <v>28</v>
      </c>
      <c r="C134" s="98">
        <f t="shared" si="48"/>
        <v>145853.33065616639</v>
      </c>
      <c r="D134" s="91">
        <f t="shared" si="47"/>
        <v>0.93500000000000016</v>
      </c>
      <c r="E134" s="90">
        <f t="shared" si="24"/>
        <v>2098044.0640540915</v>
      </c>
      <c r="F134" s="99">
        <f t="shared" si="34"/>
        <v>72926.665328083196</v>
      </c>
      <c r="G134" s="96">
        <f t="shared" si="35"/>
        <v>218779.99598424957</v>
      </c>
      <c r="H134" s="96">
        <f t="shared" si="36"/>
        <v>8751199.8393699843</v>
      </c>
      <c r="I134" s="93">
        <f t="shared" si="25"/>
        <v>8969979.8353542332</v>
      </c>
      <c r="J134" s="14">
        <f t="shared" si="37"/>
        <v>1793995.9670708459</v>
      </c>
      <c r="K134" s="94">
        <f t="shared" si="26"/>
        <v>7175983.8682833873</v>
      </c>
      <c r="L134" s="63">
        <f t="shared" si="27"/>
        <v>3000000</v>
      </c>
      <c r="M134" s="95">
        <f t="shared" si="21"/>
        <v>7343154.2241893206</v>
      </c>
      <c r="N134" s="95">
        <f t="shared" si="22"/>
        <v>583413.32262466557</v>
      </c>
      <c r="O134" s="95">
        <f t="shared" si="23"/>
        <v>32816.999397637439</v>
      </c>
      <c r="P134" s="118">
        <f t="shared" si="28"/>
        <v>10959384.546211623</v>
      </c>
      <c r="Q134" s="118">
        <f t="shared" si="29"/>
        <v>-3783400.6779282354</v>
      </c>
      <c r="R134" s="120"/>
      <c r="S134" s="119">
        <f t="shared" si="30"/>
        <v>-4113495.9358692709</v>
      </c>
      <c r="T134" s="121">
        <f t="shared" si="38"/>
        <v>-25.939761957491374</v>
      </c>
      <c r="U134" s="28">
        <f t="shared" si="39"/>
        <v>3659751.7728245277</v>
      </c>
      <c r="V134" s="126">
        <f t="shared" si="40"/>
        <v>5589286.1185679277</v>
      </c>
      <c r="W134" s="126">
        <f t="shared" si="41"/>
        <v>-1929534.3457434</v>
      </c>
      <c r="X134" s="23">
        <f t="shared" si="42"/>
        <v>168348.58154992826</v>
      </c>
      <c r="Y134" s="126">
        <f t="shared" si="43"/>
        <v>-2097882.9272933281</v>
      </c>
      <c r="Z134" s="14"/>
      <c r="AA134" s="63">
        <f t="shared" si="31"/>
        <v>0</v>
      </c>
      <c r="AB134" s="96">
        <f t="shared" si="32"/>
        <v>414929.93613387842</v>
      </c>
      <c r="AC134" s="96">
        <f t="shared" si="49"/>
        <v>-2512812.8634272064</v>
      </c>
      <c r="AD134" s="96">
        <f t="shared" si="45"/>
        <v>-904612.63083379425</v>
      </c>
      <c r="AE134" s="96">
        <f t="shared" si="46"/>
        <v>-1193270.2964595337</v>
      </c>
      <c r="AF134" s="97">
        <f t="shared" si="33"/>
        <v>-25559.256733912011</v>
      </c>
    </row>
    <row r="135" spans="2:32" x14ac:dyDescent="0.3">
      <c r="B135" s="90">
        <v>29</v>
      </c>
      <c r="C135" s="98">
        <f t="shared" si="48"/>
        <v>132726.53089711143</v>
      </c>
      <c r="D135" s="91">
        <f t="shared" si="47"/>
        <v>0.94000000000000017</v>
      </c>
      <c r="E135" s="90">
        <f t="shared" si="24"/>
        <v>2079382.3173880852</v>
      </c>
      <c r="F135" s="99">
        <f t="shared" si="34"/>
        <v>66363.265448555714</v>
      </c>
      <c r="G135" s="96">
        <f t="shared" si="35"/>
        <v>199089.79634566716</v>
      </c>
      <c r="H135" s="96">
        <f t="shared" si="36"/>
        <v>7963591.8538266858</v>
      </c>
      <c r="I135" s="93">
        <f t="shared" si="25"/>
        <v>8162681.6501723528</v>
      </c>
      <c r="J135" s="14">
        <f t="shared" si="37"/>
        <v>1632536.3300344702</v>
      </c>
      <c r="K135" s="94">
        <f t="shared" si="26"/>
        <v>6530145.3201378826</v>
      </c>
      <c r="L135" s="63">
        <f t="shared" si="27"/>
        <v>3000000</v>
      </c>
      <c r="M135" s="95">
        <f t="shared" si="21"/>
        <v>7277838.1108582979</v>
      </c>
      <c r="N135" s="95">
        <f t="shared" si="22"/>
        <v>530906.12358844571</v>
      </c>
      <c r="O135" s="95">
        <f t="shared" si="23"/>
        <v>29863.469451850073</v>
      </c>
      <c r="P135" s="118">
        <f t="shared" si="28"/>
        <v>10838607.703898596</v>
      </c>
      <c r="Q135" s="118">
        <f t="shared" si="29"/>
        <v>-4308462.383760713</v>
      </c>
      <c r="R135" s="120"/>
      <c r="S135" s="119">
        <f t="shared" si="30"/>
        <v>-4608849.0684870556</v>
      </c>
      <c r="T135" s="121">
        <f t="shared" si="38"/>
        <v>-32.461199389748231</v>
      </c>
      <c r="U135" s="28">
        <f t="shared" si="39"/>
        <v>3330374.11327032</v>
      </c>
      <c r="V135" s="126">
        <f t="shared" si="40"/>
        <v>5527689.9289882835</v>
      </c>
      <c r="W135" s="126">
        <f t="shared" si="41"/>
        <v>-2197315.8157179635</v>
      </c>
      <c r="X135" s="23">
        <f t="shared" si="42"/>
        <v>153197.20921043472</v>
      </c>
      <c r="Y135" s="126">
        <f t="shared" si="43"/>
        <v>-2350513.0249283984</v>
      </c>
      <c r="Z135" s="14"/>
      <c r="AA135" s="63">
        <f t="shared" si="31"/>
        <v>0</v>
      </c>
      <c r="AB135" s="96">
        <f t="shared" si="32"/>
        <v>377586.24188182934</v>
      </c>
      <c r="AC135" s="96">
        <f t="shared" si="49"/>
        <v>-2728099.2668102277</v>
      </c>
      <c r="AD135" s="96">
        <f t="shared" si="45"/>
        <v>-982115.73605168192</v>
      </c>
      <c r="AE135" s="96">
        <f t="shared" si="46"/>
        <v>-1368397.2888767165</v>
      </c>
      <c r="AF135" s="97">
        <f t="shared" si="33"/>
        <v>-25487.295547051483</v>
      </c>
    </row>
    <row r="136" spans="2:32" x14ac:dyDescent="0.3">
      <c r="B136" s="90">
        <v>30</v>
      </c>
      <c r="C136" s="98">
        <f t="shared" si="48"/>
        <v>120781.1431163714</v>
      </c>
      <c r="D136" s="91">
        <f t="shared" si="47"/>
        <v>0.94500000000000017</v>
      </c>
      <c r="E136" s="90">
        <f t="shared" si="24"/>
        <v>2075239.6408176611</v>
      </c>
      <c r="F136" s="99">
        <f t="shared" si="34"/>
        <v>60390.5715581857</v>
      </c>
      <c r="G136" s="96">
        <f t="shared" si="35"/>
        <v>181171.71467455709</v>
      </c>
      <c r="H136" s="96">
        <f t="shared" si="36"/>
        <v>7246868.5869822837</v>
      </c>
      <c r="I136" s="93">
        <f t="shared" si="25"/>
        <v>7428040.3016568404</v>
      </c>
      <c r="J136" s="14">
        <f t="shared" si="37"/>
        <v>1485608.0603313679</v>
      </c>
      <c r="K136" s="94">
        <f t="shared" si="26"/>
        <v>5942432.2413254725</v>
      </c>
      <c r="L136" s="63">
        <f t="shared" si="27"/>
        <v>3000000</v>
      </c>
      <c r="M136" s="95">
        <f t="shared" si="21"/>
        <v>7263338.7428618139</v>
      </c>
      <c r="N136" s="95">
        <f t="shared" si="22"/>
        <v>483124.5724654856</v>
      </c>
      <c r="O136" s="95">
        <f t="shared" si="23"/>
        <v>27175.757201183565</v>
      </c>
      <c r="P136" s="118">
        <f t="shared" si="28"/>
        <v>10773639.072528483</v>
      </c>
      <c r="Q136" s="118">
        <f t="shared" si="29"/>
        <v>-4831206.8312030109</v>
      </c>
      <c r="R136" s="120"/>
      <c r="S136" s="119">
        <f t="shared" si="30"/>
        <v>-5104558.7143039824</v>
      </c>
      <c r="T136" s="121">
        <f t="shared" si="38"/>
        <v>-39.999677984072335</v>
      </c>
      <c r="U136" s="28">
        <f t="shared" si="39"/>
        <v>3030640.4430759912</v>
      </c>
      <c r="V136" s="126">
        <f t="shared" si="40"/>
        <v>5494555.9269895265</v>
      </c>
      <c r="W136" s="126">
        <f t="shared" si="41"/>
        <v>-2463915.4839135357</v>
      </c>
      <c r="X136" s="23">
        <f t="shared" si="42"/>
        <v>139409.46038149559</v>
      </c>
      <c r="Y136" s="126">
        <f t="shared" si="43"/>
        <v>-2603324.944295031</v>
      </c>
      <c r="Z136" s="14"/>
      <c r="AA136" s="63">
        <f t="shared" si="31"/>
        <v>0</v>
      </c>
      <c r="AB136" s="96">
        <f t="shared" si="32"/>
        <v>343603.48011246475</v>
      </c>
      <c r="AC136" s="96">
        <f t="shared" si="49"/>
        <v>-2946928.4244074957</v>
      </c>
      <c r="AD136" s="96">
        <f t="shared" si="45"/>
        <v>-1060894.2327866985</v>
      </c>
      <c r="AE136" s="96">
        <f t="shared" si="46"/>
        <v>-1542430.7115083325</v>
      </c>
      <c r="AF136" s="97">
        <f t="shared" si="33"/>
        <v>-24981.549567461559</v>
      </c>
    </row>
    <row r="137" spans="2:32" x14ac:dyDescent="0.3">
      <c r="B137" s="90">
        <v>31</v>
      </c>
      <c r="C137" s="98">
        <f t="shared" si="48"/>
        <v>109910.84023589798</v>
      </c>
      <c r="D137" s="91">
        <f t="shared" si="47"/>
        <v>0.95000000000000018</v>
      </c>
      <c r="E137" s="90">
        <f t="shared" si="24"/>
        <v>2088305.9644820695</v>
      </c>
      <c r="F137" s="99">
        <f t="shared" si="34"/>
        <v>54955.42011794899</v>
      </c>
      <c r="G137" s="96">
        <f t="shared" si="35"/>
        <v>164866.26035384697</v>
      </c>
      <c r="H137" s="96">
        <f t="shared" si="36"/>
        <v>6594650.4141538786</v>
      </c>
      <c r="I137" s="93">
        <f t="shared" si="25"/>
        <v>6759516.674507726</v>
      </c>
      <c r="J137" s="14">
        <f t="shared" si="37"/>
        <v>1351903.3349015452</v>
      </c>
      <c r="K137" s="94">
        <f t="shared" si="26"/>
        <v>5407613.3396061808</v>
      </c>
      <c r="L137" s="63">
        <f t="shared" si="27"/>
        <v>3000000</v>
      </c>
      <c r="M137" s="95">
        <f t="shared" si="21"/>
        <v>7309070.8756872434</v>
      </c>
      <c r="N137" s="95">
        <f t="shared" si="22"/>
        <v>439643.36094359192</v>
      </c>
      <c r="O137" s="95">
        <f t="shared" si="23"/>
        <v>24729.939053077047</v>
      </c>
      <c r="P137" s="118">
        <f t="shared" si="28"/>
        <v>10773444.175683912</v>
      </c>
      <c r="Q137" s="118">
        <f t="shared" si="29"/>
        <v>-5365830.8360777311</v>
      </c>
      <c r="R137" s="120"/>
      <c r="S137" s="119">
        <f t="shared" si="30"/>
        <v>-5614581.0496996157</v>
      </c>
      <c r="T137" s="121">
        <f t="shared" si="38"/>
        <v>-48.819850931548032</v>
      </c>
      <c r="U137" s="28">
        <f t="shared" si="39"/>
        <v>2757882.8031991525</v>
      </c>
      <c r="V137" s="126">
        <f t="shared" si="40"/>
        <v>5494456.5295987949</v>
      </c>
      <c r="W137" s="126">
        <f t="shared" si="41"/>
        <v>-2736573.7263996429</v>
      </c>
      <c r="X137" s="23">
        <f t="shared" si="42"/>
        <v>126862.60894716102</v>
      </c>
      <c r="Y137" s="126">
        <f t="shared" si="43"/>
        <v>-2863436.3353468035</v>
      </c>
      <c r="Z137" s="14"/>
      <c r="AA137" s="63">
        <f t="shared" si="31"/>
        <v>0</v>
      </c>
      <c r="AB137" s="96">
        <f t="shared" si="32"/>
        <v>312679.16690234287</v>
      </c>
      <c r="AC137" s="96">
        <f t="shared" si="49"/>
        <v>-3176115.5022491463</v>
      </c>
      <c r="AD137" s="96">
        <f t="shared" si="45"/>
        <v>-1143401.5808096926</v>
      </c>
      <c r="AE137" s="96">
        <f t="shared" si="46"/>
        <v>-1720034.7545371109</v>
      </c>
      <c r="AF137" s="97">
        <f t="shared" si="33"/>
        <v>-24224.403479084391</v>
      </c>
    </row>
    <row r="138" spans="2:32" x14ac:dyDescent="0.3">
      <c r="B138" s="90">
        <v>32</v>
      </c>
      <c r="C138" s="98">
        <f t="shared" si="48"/>
        <v>100018.86461466717</v>
      </c>
      <c r="D138" s="91">
        <f t="shared" si="47"/>
        <v>0.95500000000000018</v>
      </c>
      <c r="E138" s="90">
        <f t="shared" si="24"/>
        <v>2122622.5712668342</v>
      </c>
      <c r="F138" s="99">
        <f t="shared" si="34"/>
        <v>50009.432307333584</v>
      </c>
      <c r="G138" s="96">
        <f t="shared" si="35"/>
        <v>150028.29692200077</v>
      </c>
      <c r="H138" s="96">
        <f t="shared" si="36"/>
        <v>6001131.8768800301</v>
      </c>
      <c r="I138" s="93">
        <f t="shared" si="25"/>
        <v>6151160.1738020312</v>
      </c>
      <c r="J138" s="14">
        <f t="shared" si="37"/>
        <v>1230232.0347604062</v>
      </c>
      <c r="K138" s="94">
        <f t="shared" si="26"/>
        <v>4920928.139041625</v>
      </c>
      <c r="L138" s="63">
        <f t="shared" si="27"/>
        <v>3000000</v>
      </c>
      <c r="M138" s="95">
        <f t="shared" si="21"/>
        <v>7429178.9994339198</v>
      </c>
      <c r="N138" s="95">
        <f t="shared" si="22"/>
        <v>400075.45845866867</v>
      </c>
      <c r="O138" s="95">
        <f t="shared" si="23"/>
        <v>22504.244538300114</v>
      </c>
      <c r="P138" s="118">
        <f t="shared" si="28"/>
        <v>10851758.702430889</v>
      </c>
      <c r="Q138" s="118">
        <f t="shared" si="29"/>
        <v>-5930830.563389264</v>
      </c>
      <c r="R138" s="120"/>
      <c r="S138" s="119">
        <f t="shared" si="30"/>
        <v>-6157193.2577851787</v>
      </c>
      <c r="T138" s="121">
        <f t="shared" si="38"/>
        <v>-59.297119460797632</v>
      </c>
      <c r="U138" s="28">
        <f t="shared" si="39"/>
        <v>2509673.3509112289</v>
      </c>
      <c r="V138" s="126">
        <f t="shared" si="40"/>
        <v>5534396.9382397532</v>
      </c>
      <c r="W138" s="126">
        <f t="shared" si="41"/>
        <v>-3024723.5873285248</v>
      </c>
      <c r="X138" s="23">
        <f t="shared" si="42"/>
        <v>115444.97414191652</v>
      </c>
      <c r="Y138" s="126">
        <f t="shared" si="43"/>
        <v>-3140168.5614704411</v>
      </c>
      <c r="Z138" s="14"/>
      <c r="AA138" s="63">
        <f t="shared" si="31"/>
        <v>0</v>
      </c>
      <c r="AB138" s="96">
        <f t="shared" si="32"/>
        <v>284538.04188113206</v>
      </c>
      <c r="AC138" s="96">
        <f t="shared" si="49"/>
        <v>-3424706.603351573</v>
      </c>
      <c r="AD138" s="96">
        <f t="shared" si="45"/>
        <v>-1232894.3772065663</v>
      </c>
      <c r="AE138" s="96">
        <f t="shared" si="46"/>
        <v>-1907274.1842638748</v>
      </c>
      <c r="AF138" s="97">
        <f t="shared" si="33"/>
        <v>-23357.758255087036</v>
      </c>
    </row>
    <row r="139" spans="2:32" x14ac:dyDescent="0.3">
      <c r="B139" s="90">
        <v>33</v>
      </c>
      <c r="C139" s="98">
        <f t="shared" si="48"/>
        <v>91017.16679934712</v>
      </c>
      <c r="D139" s="91">
        <f t="shared" si="47"/>
        <v>0.96000000000000019</v>
      </c>
      <c r="E139" s="90">
        <f t="shared" si="24"/>
        <v>2184412.0031843418</v>
      </c>
      <c r="F139" s="99">
        <f t="shared" si="34"/>
        <v>45508.58339967356</v>
      </c>
      <c r="G139" s="96">
        <f t="shared" si="35"/>
        <v>136525.75019902067</v>
      </c>
      <c r="H139" s="96">
        <f t="shared" si="36"/>
        <v>5461030.0079608271</v>
      </c>
      <c r="I139" s="93">
        <f t="shared" si="25"/>
        <v>5597555.7581598479</v>
      </c>
      <c r="J139" s="14">
        <f t="shared" si="37"/>
        <v>1119511.151631969</v>
      </c>
      <c r="K139" s="94">
        <f t="shared" si="26"/>
        <v>4478044.6065278789</v>
      </c>
      <c r="L139" s="63">
        <f t="shared" si="27"/>
        <v>3000000</v>
      </c>
      <c r="M139" s="95">
        <f t="shared" si="21"/>
        <v>7645442.0111451969</v>
      </c>
      <c r="N139" s="95">
        <f t="shared" si="22"/>
        <v>364068.66719738848</v>
      </c>
      <c r="O139" s="95">
        <f t="shared" si="23"/>
        <v>20478.862529853104</v>
      </c>
      <c r="P139" s="118">
        <f t="shared" si="28"/>
        <v>11029989.540872438</v>
      </c>
      <c r="Q139" s="118">
        <f t="shared" si="29"/>
        <v>-6551944.934344559</v>
      </c>
      <c r="R139" s="120"/>
      <c r="S139" s="119">
        <f t="shared" si="30"/>
        <v>-6757934.9862448415</v>
      </c>
      <c r="T139" s="121">
        <f t="shared" si="38"/>
        <v>-71.985815036285629</v>
      </c>
      <c r="U139" s="28">
        <f t="shared" si="39"/>
        <v>2283802.7493292182</v>
      </c>
      <c r="V139" s="126">
        <f t="shared" si="40"/>
        <v>5625294.6658449434</v>
      </c>
      <c r="W139" s="126">
        <f t="shared" si="41"/>
        <v>-3341491.9165157252</v>
      </c>
      <c r="X139" s="23">
        <f t="shared" si="42"/>
        <v>105054.92646914403</v>
      </c>
      <c r="Y139" s="126">
        <f t="shared" si="43"/>
        <v>-3446546.8429848691</v>
      </c>
      <c r="Z139" s="14"/>
      <c r="AA139" s="63">
        <f t="shared" si="31"/>
        <v>0</v>
      </c>
      <c r="AB139" s="96">
        <f t="shared" si="32"/>
        <v>258929.61811183015</v>
      </c>
      <c r="AC139" s="96">
        <f t="shared" si="49"/>
        <v>-3705476.4610966993</v>
      </c>
      <c r="AD139" s="96">
        <f t="shared" si="45"/>
        <v>-1333971.5259948117</v>
      </c>
      <c r="AE139" s="96">
        <f t="shared" si="46"/>
        <v>-2112575.3169900575</v>
      </c>
      <c r="AF139" s="97">
        <f t="shared" si="33"/>
        <v>-22497.403092006949</v>
      </c>
    </row>
    <row r="140" spans="2:32" x14ac:dyDescent="0.3">
      <c r="B140" s="90">
        <v>34</v>
      </c>
      <c r="C140" s="98">
        <f t="shared" si="48"/>
        <v>82825.621787405878</v>
      </c>
      <c r="D140" s="91">
        <f t="shared" si="47"/>
        <v>0.96500000000000019</v>
      </c>
      <c r="E140" s="90">
        <f t="shared" si="24"/>
        <v>2283620.7149956319</v>
      </c>
      <c r="F140" s="99">
        <f t="shared" si="34"/>
        <v>41412.810893702939</v>
      </c>
      <c r="G140" s="96">
        <f t="shared" si="35"/>
        <v>124238.43268110882</v>
      </c>
      <c r="H140" s="96">
        <f t="shared" si="36"/>
        <v>4969537.307244353</v>
      </c>
      <c r="I140" s="93">
        <f t="shared" si="25"/>
        <v>5093775.7399254618</v>
      </c>
      <c r="J140" s="14">
        <f t="shared" si="37"/>
        <v>1018755.1479850924</v>
      </c>
      <c r="K140" s="94">
        <f t="shared" si="26"/>
        <v>4075020.5919403695</v>
      </c>
      <c r="L140" s="63">
        <f t="shared" si="27"/>
        <v>3000000</v>
      </c>
      <c r="M140" s="95">
        <f t="shared" si="21"/>
        <v>7992672.5024847118</v>
      </c>
      <c r="N140" s="95">
        <f t="shared" si="22"/>
        <v>331302.48714962351</v>
      </c>
      <c r="O140" s="95">
        <f t="shared" si="23"/>
        <v>18635.764902166324</v>
      </c>
      <c r="P140" s="118">
        <f t="shared" si="28"/>
        <v>11342610.754536504</v>
      </c>
      <c r="Q140" s="118">
        <f t="shared" si="29"/>
        <v>-7267590.1625961345</v>
      </c>
      <c r="R140" s="120"/>
      <c r="S140" s="119">
        <f t="shared" si="30"/>
        <v>-7455041.1098253913</v>
      </c>
      <c r="T140" s="121">
        <f t="shared" si="38"/>
        <v>-87.745675864050256</v>
      </c>
      <c r="U140" s="28">
        <f t="shared" si="39"/>
        <v>2078260.5018895885</v>
      </c>
      <c r="V140" s="126">
        <f t="shared" si="40"/>
        <v>5784731.4848136175</v>
      </c>
      <c r="W140" s="126">
        <f t="shared" si="41"/>
        <v>-3706470.9829240288</v>
      </c>
      <c r="X140" s="23">
        <f t="shared" si="42"/>
        <v>95599.983086921071</v>
      </c>
      <c r="Y140" s="126">
        <f t="shared" si="43"/>
        <v>-3802070.9660109505</v>
      </c>
      <c r="Z140" s="14"/>
      <c r="AA140" s="63">
        <f t="shared" si="31"/>
        <v>0</v>
      </c>
      <c r="AB140" s="96">
        <f t="shared" si="32"/>
        <v>235625.95248176547</v>
      </c>
      <c r="AC140" s="96">
        <f t="shared" si="49"/>
        <v>-4037696.9184927158</v>
      </c>
      <c r="AD140" s="96">
        <f t="shared" si="45"/>
        <v>-1453570.8906573777</v>
      </c>
      <c r="AE140" s="96">
        <f t="shared" si="46"/>
        <v>-2348500.0753535731</v>
      </c>
      <c r="AF140" s="97">
        <f t="shared" si="33"/>
        <v>-21747.679626077628</v>
      </c>
    </row>
    <row r="141" spans="2:32" x14ac:dyDescent="0.3">
      <c r="B141" s="90">
        <v>35</v>
      </c>
      <c r="C141" s="98">
        <f t="shared" si="48"/>
        <v>75371.315826539358</v>
      </c>
      <c r="D141" s="91">
        <f t="shared" si="47"/>
        <v>0.9700000000000002</v>
      </c>
      <c r="E141" s="90">
        <f t="shared" si="24"/>
        <v>2437005.8783914559</v>
      </c>
      <c r="F141" s="99">
        <f t="shared" si="34"/>
        <v>37685.657913269679</v>
      </c>
      <c r="G141" s="96">
        <f t="shared" si="35"/>
        <v>113056.97373980904</v>
      </c>
      <c r="H141" s="96">
        <f t="shared" si="36"/>
        <v>4522278.9495923612</v>
      </c>
      <c r="I141" s="93">
        <f t="shared" si="25"/>
        <v>4635335.9233321706</v>
      </c>
      <c r="J141" s="14">
        <f t="shared" si="37"/>
        <v>927067.18466643384</v>
      </c>
      <c r="K141" s="94">
        <f t="shared" si="26"/>
        <v>3708268.7386657367</v>
      </c>
      <c r="L141" s="63">
        <f t="shared" si="27"/>
        <v>3000000</v>
      </c>
      <c r="M141" s="95">
        <f t="shared" si="21"/>
        <v>8529520.5743700955</v>
      </c>
      <c r="N141" s="95">
        <f t="shared" si="22"/>
        <v>301485.26330615743</v>
      </c>
      <c r="O141" s="95">
        <f t="shared" si="23"/>
        <v>16958.546060971355</v>
      </c>
      <c r="P141" s="118">
        <f t="shared" si="28"/>
        <v>11847964.383737225</v>
      </c>
      <c r="Q141" s="118">
        <f t="shared" si="29"/>
        <v>-8139695.6450714879</v>
      </c>
      <c r="R141" s="120"/>
      <c r="S141" s="119">
        <f t="shared" si="30"/>
        <v>-8310276.0070501119</v>
      </c>
      <c r="T141" s="121">
        <f t="shared" si="38"/>
        <v>-107.99460717661215</v>
      </c>
      <c r="U141" s="28">
        <f t="shared" si="39"/>
        <v>1891217.0567195257</v>
      </c>
      <c r="V141" s="126">
        <f t="shared" si="40"/>
        <v>6042461.8357059853</v>
      </c>
      <c r="W141" s="126">
        <f t="shared" si="41"/>
        <v>-4151244.7789864587</v>
      </c>
      <c r="X141" s="23">
        <f t="shared" si="42"/>
        <v>86995.984609098188</v>
      </c>
      <c r="Y141" s="126">
        <f t="shared" si="43"/>
        <v>-4238240.7635955578</v>
      </c>
      <c r="Z141" s="14"/>
      <c r="AA141" s="63">
        <f t="shared" si="31"/>
        <v>0</v>
      </c>
      <c r="AB141" s="96">
        <f t="shared" si="32"/>
        <v>214419.6167584066</v>
      </c>
      <c r="AC141" s="96">
        <f t="shared" si="49"/>
        <v>-4452660.3803539639</v>
      </c>
      <c r="AD141" s="96">
        <f t="shared" si="45"/>
        <v>-1602957.7369274269</v>
      </c>
      <c r="AE141" s="96">
        <f t="shared" si="46"/>
        <v>-2635283.0266681309</v>
      </c>
      <c r="AF141" s="97">
        <f t="shared" si="33"/>
        <v>-21220.31237298124</v>
      </c>
    </row>
    <row r="142" spans="2:32" x14ac:dyDescent="0.3">
      <c r="B142" s="90">
        <v>36</v>
      </c>
      <c r="C142" s="98">
        <f t="shared" si="48"/>
        <v>68587.897402150818</v>
      </c>
      <c r="D142" s="91">
        <f t="shared" si="47"/>
        <v>0.9750000000000002</v>
      </c>
      <c r="E142" s="90">
        <f t="shared" si="24"/>
        <v>2674927.9986839034</v>
      </c>
      <c r="F142" s="99">
        <f t="shared" si="34"/>
        <v>34293.948701075409</v>
      </c>
      <c r="G142" s="96">
        <f t="shared" si="35"/>
        <v>102881.84610322623</v>
      </c>
      <c r="H142" s="96">
        <f t="shared" si="36"/>
        <v>4115273.8441290492</v>
      </c>
      <c r="I142" s="93">
        <f t="shared" si="25"/>
        <v>4218155.6902322751</v>
      </c>
      <c r="J142" s="14">
        <f t="shared" si="37"/>
        <v>843631.13804645464</v>
      </c>
      <c r="K142" s="94">
        <f t="shared" si="26"/>
        <v>3374524.5521858204</v>
      </c>
      <c r="L142" s="63">
        <f t="shared" si="27"/>
        <v>3000000</v>
      </c>
      <c r="M142" s="95">
        <f t="shared" si="21"/>
        <v>9362247.9953936618</v>
      </c>
      <c r="N142" s="95">
        <f t="shared" si="22"/>
        <v>274351.58960860327</v>
      </c>
      <c r="O142" s="95">
        <f t="shared" si="23"/>
        <v>15432.276915483935</v>
      </c>
      <c r="P142" s="118">
        <f t="shared" si="28"/>
        <v>12652031.861917749</v>
      </c>
      <c r="Q142" s="118">
        <f t="shared" si="29"/>
        <v>-9277507.3097319286</v>
      </c>
      <c r="R142" s="120"/>
      <c r="S142" s="119">
        <f t="shared" si="30"/>
        <v>-9432735.4391324762</v>
      </c>
      <c r="T142" s="121">
        <f t="shared" si="38"/>
        <v>-135.2644950658744</v>
      </c>
      <c r="U142" s="28">
        <f t="shared" si="39"/>
        <v>1721007.5216147685</v>
      </c>
      <c r="V142" s="126">
        <f t="shared" si="40"/>
        <v>6452536.2495780522</v>
      </c>
      <c r="W142" s="126">
        <f t="shared" si="41"/>
        <v>-4731528.7279632837</v>
      </c>
      <c r="X142" s="23">
        <f t="shared" si="42"/>
        <v>79166.345994279356</v>
      </c>
      <c r="Y142" s="126">
        <f t="shared" si="43"/>
        <v>-4810695.0739575634</v>
      </c>
      <c r="Z142" s="14"/>
      <c r="AA142" s="63">
        <f t="shared" si="31"/>
        <v>0</v>
      </c>
      <c r="AB142" s="96">
        <f t="shared" si="32"/>
        <v>195121.85125014998</v>
      </c>
      <c r="AC142" s="96">
        <f t="shared" si="49"/>
        <v>-5005816.9252077136</v>
      </c>
      <c r="AD142" s="96">
        <f t="shared" si="45"/>
        <v>-1802094.0930747769</v>
      </c>
      <c r="AE142" s="96">
        <f t="shared" si="46"/>
        <v>-3008600.9808827862</v>
      </c>
      <c r="AF142" s="97">
        <f t="shared" si="33"/>
        <v>-21066.445309559072</v>
      </c>
    </row>
    <row r="143" spans="2:32" x14ac:dyDescent="0.3">
      <c r="B143" s="90">
        <v>37</v>
      </c>
      <c r="C143" s="98">
        <f t="shared" si="48"/>
        <v>62414.986635957248</v>
      </c>
      <c r="D143" s="91">
        <f t="shared" si="47"/>
        <v>0.9800000000000002</v>
      </c>
      <c r="E143" s="90">
        <f t="shared" si="24"/>
        <v>3058334.3451619372</v>
      </c>
      <c r="F143" s="99">
        <f t="shared" si="34"/>
        <v>31207.493317978624</v>
      </c>
      <c r="G143" s="96">
        <f t="shared" si="35"/>
        <v>93622.479953935865</v>
      </c>
      <c r="H143" s="96">
        <f t="shared" si="36"/>
        <v>3744899.1981574348</v>
      </c>
      <c r="I143" s="93">
        <f t="shared" si="25"/>
        <v>3838521.6781113707</v>
      </c>
      <c r="J143" s="14">
        <f t="shared" si="37"/>
        <v>767704.33562227385</v>
      </c>
      <c r="K143" s="94">
        <f t="shared" si="26"/>
        <v>3070817.3424890968</v>
      </c>
      <c r="L143" s="63">
        <f t="shared" si="27"/>
        <v>3000000</v>
      </c>
      <c r="M143" s="95">
        <f t="shared" si="21"/>
        <v>10704170.20806678</v>
      </c>
      <c r="N143" s="95">
        <f t="shared" si="22"/>
        <v>249659.94654382899</v>
      </c>
      <c r="O143" s="95">
        <f t="shared" si="23"/>
        <v>14043.371993090381</v>
      </c>
      <c r="P143" s="118">
        <f t="shared" si="28"/>
        <v>13967873.526603701</v>
      </c>
      <c r="Q143" s="118">
        <f t="shared" si="29"/>
        <v>-10897056.184114603</v>
      </c>
      <c r="R143" s="120"/>
      <c r="S143" s="119">
        <f t="shared" si="30"/>
        <v>-11038313.781869102</v>
      </c>
      <c r="T143" s="121">
        <f t="shared" si="38"/>
        <v>-174.59037919326917</v>
      </c>
      <c r="U143" s="28">
        <f t="shared" si="39"/>
        <v>1566116.8446694394</v>
      </c>
      <c r="V143" s="126">
        <f t="shared" si="40"/>
        <v>7123615.4985678876</v>
      </c>
      <c r="W143" s="126">
        <f t="shared" si="41"/>
        <v>-5557498.6538984478</v>
      </c>
      <c r="X143" s="23">
        <f t="shared" si="42"/>
        <v>72041.374854794209</v>
      </c>
      <c r="Y143" s="126">
        <f t="shared" si="43"/>
        <v>-5629540.0287532415</v>
      </c>
      <c r="Z143" s="14"/>
      <c r="AA143" s="63">
        <f t="shared" si="31"/>
        <v>0</v>
      </c>
      <c r="AB143" s="96">
        <f t="shared" si="32"/>
        <v>177560.88463763651</v>
      </c>
      <c r="AC143" s="96">
        <f t="shared" si="49"/>
        <v>-5807100.9133908777</v>
      </c>
      <c r="AD143" s="96">
        <f t="shared" si="45"/>
        <v>-2090556.3288207159</v>
      </c>
      <c r="AE143" s="96">
        <f t="shared" si="46"/>
        <v>-3538983.6999325259</v>
      </c>
      <c r="AF143" s="97">
        <f t="shared" si="33"/>
        <v>-21548.020965855638</v>
      </c>
    </row>
    <row r="144" spans="2:32" x14ac:dyDescent="0.3">
      <c r="B144" s="90">
        <v>38</v>
      </c>
      <c r="C144" s="98">
        <f t="shared" si="48"/>
        <v>56797.637838721101</v>
      </c>
      <c r="D144" s="91">
        <f t="shared" si="47"/>
        <v>0.98500000000000021</v>
      </c>
      <c r="E144" s="90">
        <f t="shared" si="24"/>
        <v>3729711.5514094047</v>
      </c>
      <c r="F144" s="99">
        <f t="shared" si="34"/>
        <v>28398.81891936055</v>
      </c>
      <c r="G144" s="96">
        <f t="shared" si="35"/>
        <v>85196.456758081651</v>
      </c>
      <c r="H144" s="96">
        <f t="shared" si="36"/>
        <v>3407858.2703232663</v>
      </c>
      <c r="I144" s="93">
        <f t="shared" si="25"/>
        <v>3493054.7270813477</v>
      </c>
      <c r="J144" s="14">
        <f t="shared" si="37"/>
        <v>698610.94541626936</v>
      </c>
      <c r="K144" s="94">
        <f t="shared" si="26"/>
        <v>2794443.7816650784</v>
      </c>
      <c r="L144" s="63">
        <f t="shared" si="27"/>
        <v>3000000</v>
      </c>
      <c r="M144" s="95">
        <f t="shared" si="21"/>
        <v>13053990.429932917</v>
      </c>
      <c r="N144" s="95">
        <f t="shared" si="22"/>
        <v>227190.5513548844</v>
      </c>
      <c r="O144" s="95">
        <f t="shared" si="23"/>
        <v>12779.468513712249</v>
      </c>
      <c r="P144" s="118">
        <f t="shared" si="28"/>
        <v>16293960.449801514</v>
      </c>
      <c r="Q144" s="118">
        <f t="shared" si="29"/>
        <v>-13499516.668136436</v>
      </c>
      <c r="R144" s="120"/>
      <c r="S144" s="119">
        <f t="shared" si="30"/>
        <v>-13628061.08209303</v>
      </c>
      <c r="T144" s="121">
        <f t="shared" si="38"/>
        <v>-237.6774313479161</v>
      </c>
      <c r="U144" s="28">
        <f t="shared" si="39"/>
        <v>1425166.32864919</v>
      </c>
      <c r="V144" s="126">
        <f t="shared" si="40"/>
        <v>8309919.8293987727</v>
      </c>
      <c r="W144" s="126">
        <f t="shared" si="41"/>
        <v>-6884753.5007495824</v>
      </c>
      <c r="X144" s="23">
        <f t="shared" si="42"/>
        <v>65557.651117862741</v>
      </c>
      <c r="Y144" s="126">
        <f t="shared" si="43"/>
        <v>-6950311.1518674456</v>
      </c>
      <c r="Z144" s="14"/>
      <c r="AA144" s="63">
        <f t="shared" si="31"/>
        <v>0</v>
      </c>
      <c r="AB144" s="96">
        <f t="shared" si="32"/>
        <v>161580.40502024922</v>
      </c>
      <c r="AC144" s="96">
        <f t="shared" si="49"/>
        <v>-7111891.5568876946</v>
      </c>
      <c r="AD144" s="96">
        <f t="shared" si="45"/>
        <v>-2560280.9604795701</v>
      </c>
      <c r="AE144" s="96">
        <f t="shared" si="46"/>
        <v>-4390030.191387875</v>
      </c>
      <c r="AF144" s="97">
        <f t="shared" si="33"/>
        <v>-23243.337789583311</v>
      </c>
    </row>
    <row r="145" spans="1:32" x14ac:dyDescent="0.3">
      <c r="B145" s="90">
        <v>39</v>
      </c>
      <c r="C145" s="98">
        <f t="shared" si="48"/>
        <v>51685.850433236206</v>
      </c>
      <c r="D145" s="91">
        <f t="shared" si="47"/>
        <v>0.99000000000000021</v>
      </c>
      <c r="E145" s="90">
        <f t="shared" si="24"/>
        <v>5116899.1928904941</v>
      </c>
      <c r="F145" s="99">
        <f t="shared" si="34"/>
        <v>25842.925216618103</v>
      </c>
      <c r="G145" s="96">
        <f t="shared" si="35"/>
        <v>77528.775649854302</v>
      </c>
      <c r="H145" s="96">
        <f t="shared" si="36"/>
        <v>3101151.0259941723</v>
      </c>
      <c r="I145" s="93">
        <f t="shared" si="25"/>
        <v>3178679.8016440268</v>
      </c>
      <c r="J145" s="14">
        <f t="shared" si="37"/>
        <v>635735.96032880526</v>
      </c>
      <c r="K145" s="94">
        <f t="shared" si="26"/>
        <v>2542943.8413152215</v>
      </c>
      <c r="L145" s="63">
        <f t="shared" si="27"/>
        <v>3000000</v>
      </c>
      <c r="M145" s="95">
        <f t="shared" si="21"/>
        <v>17909147.175116729</v>
      </c>
      <c r="N145" s="95">
        <f t="shared" si="22"/>
        <v>206743.40173294483</v>
      </c>
      <c r="O145" s="95">
        <f t="shared" si="23"/>
        <v>11629.316347478147</v>
      </c>
      <c r="P145" s="118">
        <f t="shared" si="28"/>
        <v>21127519.893197153</v>
      </c>
      <c r="Q145" s="118">
        <f t="shared" si="29"/>
        <v>-18584576.051881932</v>
      </c>
      <c r="R145" s="120"/>
      <c r="S145" s="119">
        <f t="shared" si="30"/>
        <v>-18701551.468582433</v>
      </c>
      <c r="T145" s="121">
        <f t="shared" si="38"/>
        <v>-359.56796485119372</v>
      </c>
      <c r="U145" s="28">
        <f t="shared" si="39"/>
        <v>1296901.359070763</v>
      </c>
      <c r="V145" s="126">
        <f t="shared" si="40"/>
        <v>10775035.145530548</v>
      </c>
      <c r="W145" s="126">
        <f t="shared" si="41"/>
        <v>-9478133.786459785</v>
      </c>
      <c r="X145" s="23">
        <f t="shared" si="42"/>
        <v>59657.462517255095</v>
      </c>
      <c r="Y145" s="126">
        <f t="shared" si="43"/>
        <v>-9537791.2489770409</v>
      </c>
      <c r="Z145" s="14"/>
      <c r="AA145" s="63">
        <f t="shared" si="31"/>
        <v>0</v>
      </c>
      <c r="AB145" s="96">
        <f t="shared" si="32"/>
        <v>147038.1685684268</v>
      </c>
      <c r="AC145" s="96">
        <f t="shared" si="49"/>
        <v>-9684829.4175454676</v>
      </c>
      <c r="AD145" s="96">
        <f t="shared" si="45"/>
        <v>-3486538.5903163683</v>
      </c>
      <c r="AE145" s="96">
        <f t="shared" si="46"/>
        <v>-6051252.6586606726</v>
      </c>
      <c r="AF145" s="97">
        <f t="shared" si="33"/>
        <v>-27859.828127058619</v>
      </c>
    </row>
    <row r="146" spans="1:32" x14ac:dyDescent="0.3">
      <c r="B146" s="90">
        <v>40</v>
      </c>
      <c r="C146" s="98">
        <f t="shared" si="48"/>
        <v>47034.123894244949</v>
      </c>
      <c r="D146" s="91">
        <f t="shared" si="47"/>
        <v>0.99500000000000022</v>
      </c>
      <c r="E146" s="90">
        <f t="shared" si="24"/>
        <v>9359790.6549551543</v>
      </c>
      <c r="F146" s="99">
        <f t="shared" si="34"/>
        <v>23517.061947122475</v>
      </c>
      <c r="G146" s="96">
        <f t="shared" si="35"/>
        <v>70551.18584136742</v>
      </c>
      <c r="H146" s="96">
        <f t="shared" si="36"/>
        <v>2822047.4336546971</v>
      </c>
      <c r="I146" s="93">
        <f t="shared" si="25"/>
        <v>2892598.6194960647</v>
      </c>
      <c r="J146" s="14">
        <f t="shared" si="37"/>
        <v>578519.72389921267</v>
      </c>
      <c r="K146" s="94">
        <f t="shared" si="26"/>
        <v>2314078.8955968521</v>
      </c>
      <c r="L146" s="63">
        <f t="shared" si="27"/>
        <v>3000000</v>
      </c>
      <c r="M146" s="95">
        <f t="shared" si="21"/>
        <v>32759267.292343039</v>
      </c>
      <c r="N146" s="95">
        <f t="shared" si="22"/>
        <v>188136.4955769798</v>
      </c>
      <c r="O146" s="95">
        <f t="shared" si="23"/>
        <v>10582.677876205114</v>
      </c>
      <c r="P146" s="118">
        <f t="shared" si="28"/>
        <v>35957986.465796217</v>
      </c>
      <c r="Q146" s="118">
        <f t="shared" si="29"/>
        <v>-33643907.570199363</v>
      </c>
      <c r="R146" s="120"/>
      <c r="S146" s="119">
        <f t="shared" si="30"/>
        <v>-33750355.199396819</v>
      </c>
      <c r="T146" s="121">
        <f t="shared" si="38"/>
        <v>-715.30847785847675</v>
      </c>
      <c r="U146" s="28">
        <f t="shared" si="39"/>
        <v>1180180.2367543946</v>
      </c>
      <c r="V146" s="126">
        <f t="shared" si="40"/>
        <v>18338573.097556069</v>
      </c>
      <c r="W146" s="126">
        <f t="shared" si="41"/>
        <v>-17158392.860801674</v>
      </c>
      <c r="X146" s="23">
        <f t="shared" si="42"/>
        <v>54288.290890702148</v>
      </c>
      <c r="Y146" s="126">
        <f t="shared" si="43"/>
        <v>-17212681.151692376</v>
      </c>
      <c r="Z146" s="14"/>
      <c r="AA146" s="63">
        <f t="shared" si="31"/>
        <v>0</v>
      </c>
      <c r="AB146" s="96">
        <f t="shared" si="32"/>
        <v>133804.7333972684</v>
      </c>
      <c r="AC146" s="96">
        <f t="shared" si="49"/>
        <v>-17346485.885089643</v>
      </c>
      <c r="AD146" s="96">
        <f t="shared" si="45"/>
        <v>-6244734.9186322717</v>
      </c>
      <c r="AE146" s="96">
        <f t="shared" si="46"/>
        <v>-10967946.233060103</v>
      </c>
      <c r="AF146" s="97">
        <f t="shared" si="33"/>
        <v>-43909.715054587985</v>
      </c>
    </row>
    <row r="147" spans="1:32" x14ac:dyDescent="0.3">
      <c r="C147" s="2">
        <f>SUM(C106:C146)</f>
        <v>19673046.08062486</v>
      </c>
      <c r="D147" s="100">
        <f>SUM(D106:D146)</f>
        <v>35.9</v>
      </c>
      <c r="E147" s="2">
        <f>SUM(E106:E146)</f>
        <v>145747701.90295562</v>
      </c>
      <c r="F147" s="80">
        <f>SUM(F106:F146)</f>
        <v>9836523.0403124299</v>
      </c>
      <c r="G147" s="2">
        <f t="shared" si="35"/>
        <v>29509569.120937288</v>
      </c>
      <c r="H147" s="2">
        <f>SUM(H106:H146)</f>
        <v>1180382764.8374918</v>
      </c>
      <c r="I147" s="10">
        <f>SUM(I106:I146)</f>
        <v>1209892333.9584291</v>
      </c>
      <c r="J147" s="2">
        <f t="shared" si="37"/>
        <v>241978466.79168582</v>
      </c>
      <c r="K147" s="84">
        <f>SUM(K106:K146)</f>
        <v>967913867.1667434</v>
      </c>
      <c r="L147" s="5">
        <f>SUM(L106:L146)</f>
        <v>123000000</v>
      </c>
      <c r="M147" s="79">
        <f>SUM(M106:M146)</f>
        <v>510116956.66034448</v>
      </c>
      <c r="N147" s="79">
        <f>SUM(N106:N146)</f>
        <v>78692184.322499439</v>
      </c>
      <c r="O147" s="79">
        <f>SUM(O106:O146)</f>
        <v>4426435.3681405941</v>
      </c>
      <c r="P147" s="122">
        <f>SUM(P107:P146)</f>
        <v>713235576.35098457</v>
      </c>
      <c r="Q147" s="122">
        <f>SUM(Q106:Q146)</f>
        <v>254678290.81575888</v>
      </c>
      <c r="R147" s="122">
        <f>SUM(R106:R146)</f>
        <v>5000000</v>
      </c>
      <c r="S147" s="123">
        <f>SUM(S106:S146)</f>
        <v>210154252.92608854</v>
      </c>
      <c r="T147" s="124">
        <f t="shared" ref="T147:Y147" si="50">SUM(T107:T146)</f>
        <v>-1748.9755506385745</v>
      </c>
      <c r="U147" s="128">
        <f t="shared" si="50"/>
        <v>493636072.25503927</v>
      </c>
      <c r="V147" s="129">
        <f t="shared" si="50"/>
        <v>363750143.9390021</v>
      </c>
      <c r="W147" s="129">
        <f t="shared" si="50"/>
        <v>129885928.31603697</v>
      </c>
      <c r="X147" s="130">
        <f t="shared" si="50"/>
        <v>22707259.323731795</v>
      </c>
      <c r="Y147" s="129">
        <f t="shared" si="50"/>
        <v>107178668.99230506</v>
      </c>
      <c r="AA147" s="5">
        <f t="shared" ref="AA147:AF147" si="51">SUM(AA106:AA146)</f>
        <v>5000000</v>
      </c>
      <c r="AB147" s="83">
        <f t="shared" si="51"/>
        <v>55966742.185927644</v>
      </c>
      <c r="AC147" s="83">
        <f t="shared" si="51"/>
        <v>46211926.806377493</v>
      </c>
      <c r="AD147" s="83">
        <f t="shared" si="51"/>
        <v>9374750.7244358845</v>
      </c>
      <c r="AE147" s="83">
        <f t="shared" si="51"/>
        <v>77632964.59186922</v>
      </c>
      <c r="AF147" s="85">
        <f t="shared" ca="1" si="51"/>
        <v>57562165.2375843</v>
      </c>
    </row>
    <row r="148" spans="1:32" x14ac:dyDescent="0.3">
      <c r="E148" s="78"/>
      <c r="F148" s="12"/>
      <c r="I148" s="10"/>
    </row>
    <row r="149" spans="1:32" x14ac:dyDescent="0.3">
      <c r="F149" s="12"/>
      <c r="I149" s="10"/>
    </row>
    <row r="150" spans="1:32" ht="15.6" x14ac:dyDescent="0.3">
      <c r="B150" s="19"/>
      <c r="C150" s="19" t="s">
        <v>80</v>
      </c>
      <c r="D150" s="19" t="s">
        <v>64</v>
      </c>
      <c r="E150" s="19" t="s">
        <v>65</v>
      </c>
      <c r="F150" s="12"/>
      <c r="I150" s="10"/>
    </row>
    <row r="151" spans="1:32" ht="15.6" x14ac:dyDescent="0.3">
      <c r="B151" s="19" t="s">
        <v>66</v>
      </c>
      <c r="C151" s="76">
        <f>22+Q127/(Q127-Q128)</f>
        <v>22.985074523395557</v>
      </c>
      <c r="D151" s="77">
        <f>SUM(C106:C128)+((C151-22)*C129)</f>
        <v>17781882.429706819</v>
      </c>
      <c r="E151" s="54"/>
      <c r="F151" s="12"/>
      <c r="I151" s="10"/>
    </row>
    <row r="152" spans="1:32" ht="15.6" x14ac:dyDescent="0.3">
      <c r="B152" s="19" t="s">
        <v>67</v>
      </c>
      <c r="C152" s="76">
        <f>22+AE128/(AE128-AE129)</f>
        <v>22.27678849181606</v>
      </c>
      <c r="D152" s="77">
        <f>SUM(C106:C128)+((C152-22)*C129)</f>
        <v>17616336.668043286</v>
      </c>
      <c r="E152" s="106">
        <v>70016730</v>
      </c>
      <c r="F152" s="12"/>
      <c r="I152" s="10"/>
    </row>
    <row r="153" spans="1:32" x14ac:dyDescent="0.3">
      <c r="F153" s="12"/>
      <c r="I153" s="10"/>
    </row>
    <row r="154" spans="1:32" x14ac:dyDescent="0.3">
      <c r="F154" s="12"/>
      <c r="I154" s="10"/>
    </row>
    <row r="155" spans="1:32" x14ac:dyDescent="0.3">
      <c r="F155" s="12"/>
      <c r="I155" s="10"/>
    </row>
    <row r="156" spans="1:32" x14ac:dyDescent="0.3">
      <c r="F156" s="12"/>
      <c r="I156" s="10"/>
    </row>
    <row r="157" spans="1:32" ht="18" x14ac:dyDescent="0.35">
      <c r="A157" s="52" t="s">
        <v>97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32" ht="18" x14ac:dyDescent="0.35">
      <c r="A158" s="2">
        <f>SUM(A159:A167)</f>
        <v>30</v>
      </c>
      <c r="B158" s="4" t="s">
        <v>5</v>
      </c>
      <c r="C158" s="4"/>
      <c r="D158" s="4"/>
      <c r="E158" s="4"/>
      <c r="F158" s="4"/>
      <c r="G158" s="4"/>
      <c r="H158" s="4"/>
      <c r="I158" s="4"/>
      <c r="J158" s="6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32" ht="18" x14ac:dyDescent="0.35">
      <c r="A159" s="2">
        <v>4</v>
      </c>
      <c r="B159" s="108" t="s">
        <v>43</v>
      </c>
      <c r="C159" s="109"/>
      <c r="D159" s="109"/>
      <c r="E159" s="109"/>
      <c r="F159" s="109"/>
      <c r="G159" s="109"/>
      <c r="H159" s="109"/>
      <c r="I159" s="109"/>
      <c r="J159" s="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32" ht="18" x14ac:dyDescent="0.35">
      <c r="A160" s="2">
        <v>6</v>
      </c>
      <c r="B160" s="110" t="s">
        <v>44</v>
      </c>
      <c r="C160" s="109"/>
      <c r="D160" s="109"/>
      <c r="E160" s="109"/>
      <c r="F160" s="109"/>
      <c r="G160" s="109"/>
      <c r="H160" s="109"/>
      <c r="I160" s="109"/>
      <c r="J160" s="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40.5" customHeight="1" x14ac:dyDescent="0.35">
      <c r="A161" s="2">
        <v>8</v>
      </c>
      <c r="B161" s="111" t="s">
        <v>96</v>
      </c>
      <c r="C161" s="109"/>
      <c r="D161" s="109"/>
      <c r="E161" s="109"/>
      <c r="F161" s="109"/>
      <c r="G161" s="109"/>
      <c r="H161" s="109"/>
      <c r="I161" s="109"/>
      <c r="J161" s="6"/>
      <c r="O161" s="4"/>
      <c r="P161" s="4"/>
      <c r="Q161" s="4"/>
      <c r="R161" s="4"/>
      <c r="S161" s="4"/>
      <c r="T161" s="4"/>
      <c r="U161" s="4"/>
    </row>
    <row r="163" spans="1:21" ht="18" x14ac:dyDescent="0.35">
      <c r="B163" s="4" t="s">
        <v>84</v>
      </c>
      <c r="C163" s="4"/>
      <c r="D163" s="4"/>
      <c r="E163" s="4"/>
    </row>
    <row r="164" spans="1:21" ht="18" x14ac:dyDescent="0.35">
      <c r="A164" s="2">
        <v>3</v>
      </c>
      <c r="B164" s="47" t="s">
        <v>82</v>
      </c>
      <c r="C164" s="44"/>
      <c r="D164" s="101">
        <f>C46</f>
        <v>13.922256840797891</v>
      </c>
      <c r="E164" s="4" t="s">
        <v>101</v>
      </c>
    </row>
    <row r="165" spans="1:21" ht="18" x14ac:dyDescent="0.35">
      <c r="A165" s="2">
        <v>3</v>
      </c>
      <c r="B165" s="48" t="s">
        <v>83</v>
      </c>
      <c r="C165" s="46"/>
      <c r="D165" s="101">
        <f>D45</f>
        <v>10.391159577117048</v>
      </c>
      <c r="E165" s="4" t="s">
        <v>158</v>
      </c>
    </row>
    <row r="166" spans="1:21" ht="18" x14ac:dyDescent="0.35">
      <c r="A166" s="2">
        <v>3</v>
      </c>
      <c r="B166" s="49" t="s">
        <v>102</v>
      </c>
      <c r="C166" s="45"/>
      <c r="D166" s="102">
        <f>E46</f>
        <v>59094949.558555342</v>
      </c>
      <c r="E166" s="4"/>
    </row>
    <row r="167" spans="1:21" ht="18" x14ac:dyDescent="0.35">
      <c r="A167" s="2">
        <v>3</v>
      </c>
      <c r="B167" s="13" t="s">
        <v>90</v>
      </c>
      <c r="C167" s="4"/>
      <c r="D167" s="4"/>
      <c r="E167" s="4"/>
    </row>
    <row r="168" spans="1:21" ht="18" x14ac:dyDescent="0.35">
      <c r="B168" s="132" t="s">
        <v>163</v>
      </c>
      <c r="C168" s="4"/>
      <c r="D168" s="4"/>
      <c r="E168" s="4"/>
    </row>
    <row r="169" spans="1:21" ht="18" x14ac:dyDescent="0.35">
      <c r="B169" s="4" t="s">
        <v>160</v>
      </c>
      <c r="C169" s="4"/>
      <c r="D169" s="4"/>
      <c r="E169" s="4"/>
    </row>
    <row r="170" spans="1:21" ht="18" x14ac:dyDescent="0.35">
      <c r="B170" s="47" t="s">
        <v>82</v>
      </c>
      <c r="C170" s="44"/>
      <c r="D170" s="101">
        <f>C152</f>
        <v>22.27678849181606</v>
      </c>
      <c r="E170" s="4" t="s">
        <v>101</v>
      </c>
    </row>
    <row r="171" spans="1:21" ht="18" x14ac:dyDescent="0.35">
      <c r="B171" s="48" t="s">
        <v>83</v>
      </c>
      <c r="C171" s="46"/>
      <c r="D171" s="101">
        <f>D152</f>
        <v>17616336.668043286</v>
      </c>
      <c r="E171" s="4" t="s">
        <v>158</v>
      </c>
    </row>
    <row r="172" spans="1:21" ht="18" x14ac:dyDescent="0.35">
      <c r="B172" s="49" t="s">
        <v>102</v>
      </c>
      <c r="C172" s="45"/>
      <c r="D172" s="102">
        <f>E152</f>
        <v>70016730</v>
      </c>
      <c r="E172" s="4"/>
    </row>
    <row r="173" spans="1:21" ht="18" x14ac:dyDescent="0.35">
      <c r="B173" s="13"/>
      <c r="C173" s="4"/>
      <c r="D173" s="4"/>
      <c r="E173" s="4"/>
    </row>
    <row r="174" spans="1:21" ht="18" x14ac:dyDescent="0.35">
      <c r="B174" s="13"/>
      <c r="C174" s="4"/>
      <c r="D174" s="4"/>
      <c r="E174" s="4"/>
    </row>
    <row r="175" spans="1:21" ht="18" x14ac:dyDescent="0.35">
      <c r="A175" s="52" t="s">
        <v>98</v>
      </c>
      <c r="B175" s="13"/>
      <c r="C175" s="4"/>
      <c r="D175" s="4"/>
      <c r="E175" s="4"/>
    </row>
    <row r="176" spans="1:21" ht="18" x14ac:dyDescent="0.35">
      <c r="A176" s="2">
        <f>SUM(A177:A189)</f>
        <v>30</v>
      </c>
      <c r="B176" s="4"/>
      <c r="C176" s="4"/>
      <c r="D176" s="4"/>
      <c r="E176" s="4"/>
    </row>
    <row r="177" spans="1:5" ht="18" x14ac:dyDescent="0.35">
      <c r="B177" s="53" t="s">
        <v>85</v>
      </c>
      <c r="C177" s="44"/>
      <c r="D177" s="43"/>
      <c r="E177" s="4"/>
    </row>
    <row r="178" spans="1:5" ht="18" x14ac:dyDescent="0.35">
      <c r="A178" s="2">
        <v>10</v>
      </c>
      <c r="B178" s="48" t="s">
        <v>86</v>
      </c>
      <c r="C178" s="46"/>
      <c r="D178" s="107">
        <f>(E152-E46)</f>
        <v>10921780.441444658</v>
      </c>
      <c r="E178" s="4"/>
    </row>
    <row r="179" spans="1:5" ht="18" x14ac:dyDescent="0.35">
      <c r="A179" s="2">
        <v>3</v>
      </c>
      <c r="B179" s="49" t="s">
        <v>87</v>
      </c>
      <c r="C179" s="45"/>
      <c r="D179" s="43">
        <f>D178/L93</f>
        <v>2.1843560882889315</v>
      </c>
      <c r="E179" s="4"/>
    </row>
    <row r="180" spans="1:5" ht="18" x14ac:dyDescent="0.35">
      <c r="A180" s="2">
        <v>3</v>
      </c>
      <c r="B180" s="47" t="s">
        <v>88</v>
      </c>
      <c r="C180" s="44"/>
      <c r="D180" s="43">
        <f>D178*100/R106</f>
        <v>218.43560882889312</v>
      </c>
    </row>
    <row r="181" spans="1:5" ht="18" x14ac:dyDescent="0.35">
      <c r="A181" s="2">
        <v>4</v>
      </c>
      <c r="B181" s="48" t="s">
        <v>89</v>
      </c>
      <c r="C181" s="46"/>
      <c r="D181" s="116" t="s">
        <v>169</v>
      </c>
    </row>
    <row r="184" spans="1:5" ht="18" x14ac:dyDescent="0.35">
      <c r="A184" s="2">
        <v>5</v>
      </c>
      <c r="B184" s="4" t="s">
        <v>91</v>
      </c>
      <c r="C184" s="4"/>
      <c r="D184" s="4"/>
    </row>
    <row r="185" spans="1:5" ht="18" x14ac:dyDescent="0.35">
      <c r="C185" s="4"/>
      <c r="D185" s="4"/>
    </row>
    <row r="186" spans="1:5" x14ac:dyDescent="0.3">
      <c r="B186" s="131" t="s">
        <v>161</v>
      </c>
    </row>
    <row r="189" spans="1:5" ht="18" x14ac:dyDescent="0.35">
      <c r="A189" s="2">
        <v>5</v>
      </c>
      <c r="B189" s="50" t="s">
        <v>92</v>
      </c>
    </row>
    <row r="191" spans="1:5" x14ac:dyDescent="0.3">
      <c r="B191" s="131" t="s">
        <v>162</v>
      </c>
    </row>
  </sheetData>
  <mergeCells count="12">
    <mergeCell ref="B159:I159"/>
    <mergeCell ref="B160:I160"/>
    <mergeCell ref="B161:I161"/>
    <mergeCell ref="B4:P7"/>
    <mergeCell ref="B89:O91"/>
    <mergeCell ref="B35:I35"/>
    <mergeCell ref="B37:I37"/>
    <mergeCell ref="B31:I31"/>
    <mergeCell ref="B32:I32"/>
    <mergeCell ref="B33:I33"/>
    <mergeCell ref="B34:I34"/>
    <mergeCell ref="B36:I36"/>
  </mergeCells>
  <conditionalFormatting sqref="B58:J58">
    <cfRule type="containsText" dxfId="0" priority="1" operator="containsText" text="Year">
      <formula>NOT(ISERROR(SEARCH("Year",B58)))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Economics Project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Carpenter</dc:creator>
  <cp:keywords/>
  <dc:description/>
  <cp:lastModifiedBy>Joy Raj</cp:lastModifiedBy>
  <cp:revision/>
  <dcterms:created xsi:type="dcterms:W3CDTF">2024-05-24T13:50:18Z</dcterms:created>
  <dcterms:modified xsi:type="dcterms:W3CDTF">2025-12-15T07:10:47Z</dcterms:modified>
  <cp:category/>
  <cp:contentStatus/>
</cp:coreProperties>
</file>